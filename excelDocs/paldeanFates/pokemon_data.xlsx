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70" yWindow="2985" windowWidth="25260" windowHeight="11385" tabRatio="797" firstSheet="0" activeTab="0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3" fillId="2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164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4" fillId="3" borderId="5" applyAlignment="1" pivotButton="0" quotePrefix="0" xfId="0">
      <alignment horizontal="center"/>
    </xf>
    <xf numFmtId="0" fontId="0" fillId="0" borderId="5" applyAlignment="1" pivotButton="0" quotePrefix="0" xfId="0">
      <alignment horizontal="left"/>
    </xf>
    <xf numFmtId="164" fontId="0" fillId="0" borderId="5" applyAlignment="1" pivotButton="0" quotePrefix="0" xfId="0">
      <alignment horizontal="left"/>
    </xf>
    <xf numFmtId="10" fontId="0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63"/>
  <sheetViews>
    <sheetView tabSelected="1" zoomScale="85" zoomScaleNormal="85" workbookViewId="0">
      <selection activeCell="B11" sqref="B11"/>
    </sheetView>
  </sheetViews>
  <sheetFormatPr baseColWidth="8" defaultRowHeight="15"/>
  <cols>
    <col width="37.2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" customWidth="1" min="13" max="13"/>
    <col width="28.8" customWidth="1" min="14" max="14"/>
    <col width="13.85546875" customWidth="1" min="15" max="15"/>
    <col width="33.5703125" customWidth="1" min="16" max="16"/>
    <col width="26.85546875" customWidth="1" min="17" max="17"/>
    <col width="17" customWidth="1" min="18" max="18"/>
    <col width="16.85546875" customWidth="1" min="19" max="19"/>
    <col width="33.85546875" customWidth="1" min="27" max="27"/>
    <col width="31.5703125" customWidth="1" min="28" max="28"/>
    <col width="15.85546875" customWidth="1" min="36" max="36"/>
    <col width="15" customWidth="1" min="46" max="47"/>
    <col width="24" customWidth="1" min="48" max="48"/>
    <col width="20.42578125" customWidth="1" min="49" max="49"/>
    <col width="28.85546875" customWidth="1" min="50" max="50"/>
    <col width="16.8" customWidth="1" min="51" max="51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O1" s="6" t="inlineStr">
        <is>
          <t>Probability</t>
        </is>
      </c>
      <c r="P1" s="6" t="inlineStr">
        <is>
          <t>Expected Value Contribution per Card</t>
        </is>
      </c>
      <c r="Q1" s="6" t="inlineStr">
        <is>
          <t>Variance Contribution per card</t>
        </is>
      </c>
      <c r="R1" s="6" t="inlineStr">
        <is>
          <t xml:space="preserve">Total Variance </t>
        </is>
      </c>
      <c r="S1" s="6" t="inlineStr">
        <is>
          <t>Standard Deviation</t>
        </is>
      </c>
      <c r="AA1" s="6" t="inlineStr">
        <is>
          <t>Expected Value Contribution per reverse Card</t>
        </is>
      </c>
      <c r="AB1" s="6" t="inlineStr">
        <is>
          <t>Variance Contribution per reverse card</t>
        </is>
      </c>
      <c r="AY1" t="inlineStr">
        <is>
          <t>Mini Tin Price</t>
        </is>
      </c>
    </row>
    <row r="2" ht="17.25" customHeight="1">
      <c r="A2" s="3" t="inlineStr">
        <is>
          <t>Abomasnow</t>
        </is>
      </c>
      <c r="B2" s="3" t="inlineStr">
        <is>
          <t>shiny rare</t>
        </is>
      </c>
      <c r="C2" s="3" t="n">
        <v>472</v>
      </c>
      <c r="D2" s="3" t="n">
        <v>1.75</v>
      </c>
      <c r="E2" s="3" t="inlineStr"/>
      <c r="F2" s="3">
        <f>IF(B2="common", 4, IF(B2="uncommon", 3, IF(B2="rare", 0.73878, 1)))</f>
        <v/>
      </c>
      <c r="G2" s="3">
        <f>SUM(H2:H13)</f>
        <v/>
      </c>
      <c r="H2" s="3">
        <f>SUMPRODUCT((B2:B326="common") *D2:D326 * F2:F326/ C2:C326)</f>
        <v/>
      </c>
      <c r="I2" s="3" t="n">
        <v>14.49</v>
      </c>
      <c r="J2" s="3" t="n">
        <v>61.18</v>
      </c>
      <c r="K2" s="3" t="n">
        <v>92.26000000000001</v>
      </c>
      <c r="L2" s="3" t="n">
        <v>7.34</v>
      </c>
      <c r="M2" s="3" t="n"/>
      <c r="N2" s="3" t="n"/>
      <c r="R2" s="3" t="n"/>
      <c r="S2" s="3" t="n"/>
      <c r="T2" s="3" t="n"/>
      <c r="U2" s="3" t="n"/>
      <c r="AA2">
        <f>E2 *1.88541666666666</f>
        <v/>
      </c>
      <c r="AB2" s="3">
        <f>1.88541666666666 * (E2  -  AA2)^2</f>
        <v/>
      </c>
      <c r="AC2" s="3" t="n"/>
      <c r="AD2" s="3" t="n"/>
      <c r="AJ2" s="3" t="n"/>
      <c r="AK2" s="3" t="n"/>
      <c r="AL2" s="3" t="n"/>
      <c r="AM2" s="3" t="n"/>
      <c r="AN2" s="3" t="n"/>
      <c r="AT2" s="3" t="n"/>
      <c r="AU2" s="3" t="n"/>
      <c r="AV2" s="3" t="n"/>
      <c r="AW2" s="3" t="n"/>
      <c r="AX2" s="3" t="n"/>
      <c r="AY2" s="3" t="n">
        <v>21.81</v>
      </c>
    </row>
    <row r="3">
      <c r="A3" s="3" t="inlineStr">
        <is>
          <t>Abra</t>
        </is>
      </c>
      <c r="B3" s="3" t="inlineStr">
        <is>
          <t>shiny rare</t>
        </is>
      </c>
      <c r="C3" s="3" t="n">
        <v>472</v>
      </c>
      <c r="D3" s="3" t="n">
        <v>5.62</v>
      </c>
      <c r="E3" s="3" t="inlineStr"/>
      <c r="F3" s="3">
        <f>IF(B3="common", 4, IF(B3="uncommon", 3, IF(B3="rare", 0.73878, 1)))</f>
        <v/>
      </c>
      <c r="G3" s="3" t="n"/>
      <c r="H3" s="3">
        <f>SUMPRODUCT((B2:B326="uncommon") *D2:D326 * F2:F326/ C2:C326)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>
        <f>E3 *1.88541666666666</f>
        <v/>
      </c>
      <c r="AB3" s="3">
        <f>1.88541666666666 * (E3  -  AA3)^2</f>
        <v/>
      </c>
      <c r="AC3" s="3" t="n"/>
      <c r="AD3" s="3" t="n"/>
      <c r="AJ3" s="3" t="n"/>
      <c r="AK3" s="3" t="n"/>
      <c r="AL3" s="3" t="n"/>
      <c r="AM3" s="3" t="n"/>
      <c r="AN3" s="3" t="n"/>
      <c r="AT3" s="3" t="n"/>
      <c r="AU3" s="3" t="n"/>
      <c r="AV3" s="3" t="n"/>
      <c r="AW3" s="3" t="n"/>
      <c r="AX3" s="3" t="n"/>
      <c r="AY3" s="3" t="n"/>
    </row>
    <row r="4">
      <c r="A4" s="3" t="inlineStr">
        <is>
          <t>Alakazam ex</t>
        </is>
      </c>
      <c r="B4" s="3" t="inlineStr">
        <is>
          <t>shiny ultra rare</t>
        </is>
      </c>
      <c r="C4" s="3" t="n">
        <v>155</v>
      </c>
      <c r="D4" s="3" t="n">
        <v>3.72</v>
      </c>
      <c r="E4" s="3" t="inlineStr"/>
      <c r="F4" s="3">
        <f>IF(B4="common", 4, IF(B4="uncommon", 3, IF(B4="rare", 0.73878, 1)))</f>
        <v/>
      </c>
      <c r="G4" s="3" t="n"/>
      <c r="H4" s="3">
        <f>SUMPRODUCT((B2:B326="rare") *D2:D326 * F2:F326/ C2:C326)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>
        <f>E4 *1.88541666666666</f>
        <v/>
      </c>
      <c r="AB4" s="3">
        <f>1.88541666666666 * (E4 - AA4)^2</f>
        <v/>
      </c>
      <c r="AC4" s="3" t="n"/>
      <c r="AD4" s="3" t="n"/>
      <c r="AJ4" s="3" t="n"/>
      <c r="AK4" s="3" t="n"/>
      <c r="AL4" s="3" t="n"/>
      <c r="AM4" s="3" t="n"/>
      <c r="AN4" s="3" t="n"/>
      <c r="AT4" s="3" t="n"/>
      <c r="AU4" s="3" t="n"/>
      <c r="AV4" s="3" t="n"/>
      <c r="AW4" s="3" t="n"/>
      <c r="AX4" s="3" t="n"/>
      <c r="AY4" s="3" t="n"/>
    </row>
    <row r="5">
      <c r="A5" s="3" t="inlineStr">
        <is>
          <t>Annihilape - 047/091</t>
        </is>
      </c>
      <c r="B5" s="3" t="inlineStr">
        <is>
          <t>rare</t>
        </is>
      </c>
      <c r="C5" s="3" t="n">
        <v>16</v>
      </c>
      <c r="D5" s="3" t="n">
        <v>0.1</v>
      </c>
      <c r="E5" s="3" t="n">
        <v>0.2</v>
      </c>
      <c r="F5" s="3">
        <f>IF(B5="common", 4, IF(B5="uncommon", 3, IF(B5="rare", 0.73878, 1)))</f>
        <v/>
      </c>
      <c r="G5" s="3" t="n"/>
      <c r="H5" s="3">
        <f>SUMPRODUCT((B2:B326="double rare") *D2:D326 * F2:F326/ C2:C326)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>
        <f>E5 *1.88541666666666</f>
        <v/>
      </c>
      <c r="AB5" s="3">
        <f>1.88541666666666 * (E5 - AA5)^2</f>
        <v/>
      </c>
      <c r="AC5" s="3" t="n"/>
      <c r="AD5" s="3" t="n"/>
      <c r="AJ5" s="3" t="n"/>
      <c r="AK5" s="3" t="n"/>
      <c r="AL5" s="3" t="n"/>
      <c r="AM5" s="3" t="n"/>
      <c r="AN5" s="3" t="n"/>
      <c r="AT5" s="3" t="n"/>
      <c r="AU5" s="3" t="n"/>
      <c r="AV5" s="3" t="n"/>
      <c r="AW5" s="3" t="n"/>
      <c r="AX5" s="3" t="n"/>
      <c r="AY5" s="3" t="n"/>
    </row>
    <row r="6">
      <c r="A6" s="3" t="inlineStr">
        <is>
          <t>Annihilape - 171/091</t>
        </is>
      </c>
      <c r="B6" s="3" t="inlineStr">
        <is>
          <t>shiny rare</t>
        </is>
      </c>
      <c r="C6" s="3" t="n">
        <v>472</v>
      </c>
      <c r="D6" s="3" t="n">
        <v>3.3</v>
      </c>
      <c r="E6" s="3" t="inlineStr"/>
      <c r="F6" s="3">
        <f>IF(B6="common", 4, IF(B6="uncommon", 3, IF(B6="rare", 0.73878, 1)))</f>
        <v/>
      </c>
      <c r="G6" s="3" t="n"/>
      <c r="H6" s="3">
        <f>SUM(E2:E326) * (1.4349 / COUNTA(E2:E326))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>
        <f>E6 *1.88541666666666</f>
        <v/>
      </c>
      <c r="AB6" s="3">
        <f>1.88541666666666 * (E6 - AA6)^2</f>
        <v/>
      </c>
      <c r="AC6" s="3" t="n"/>
      <c r="AD6" s="3" t="n"/>
      <c r="AJ6" s="3" t="n"/>
      <c r="AK6" s="3" t="n"/>
      <c r="AL6" s="3" t="n"/>
      <c r="AM6" s="3" t="n"/>
      <c r="AN6" s="3" t="n"/>
      <c r="AT6" s="3" t="n"/>
      <c r="AU6" s="3" t="n"/>
      <c r="AV6" s="3" t="n"/>
      <c r="AW6" s="3" t="n"/>
      <c r="AX6" s="3" t="n"/>
      <c r="AY6" s="3" t="n"/>
    </row>
    <row r="7">
      <c r="A7" s="3" t="inlineStr">
        <is>
          <t>Arboliva</t>
        </is>
      </c>
      <c r="B7" s="3" t="inlineStr">
        <is>
          <t>shiny rare</t>
        </is>
      </c>
      <c r="C7" s="3" t="n">
        <v>472</v>
      </c>
      <c r="D7" s="3" t="n">
        <v>1.85</v>
      </c>
      <c r="E7" s="3" t="inlineStr"/>
      <c r="F7" s="3">
        <f>IF(B7="common", 4, IF(B7="uncommon", 3, IF(B7="rare", 0.73878, 1)))</f>
        <v/>
      </c>
      <c r="G7" s="3" t="n"/>
      <c r="H7" s="3">
        <f>SUMPRODUCT((B2:B326="illustration rare") *D2:D326 * F2:F326 / C2:C326)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>
        <f>E7 *1.88541666666666</f>
        <v/>
      </c>
      <c r="AB7" s="3">
        <f>1.88541666666666 * (E7 - AA7)^2</f>
        <v/>
      </c>
      <c r="AC7" s="3" t="n"/>
      <c r="AD7" s="3" t="n"/>
      <c r="AJ7" s="3" t="n"/>
      <c r="AK7" s="3" t="n"/>
      <c r="AL7" s="3" t="n"/>
      <c r="AM7" s="3" t="n"/>
      <c r="AN7" s="3" t="n"/>
      <c r="AT7" s="3" t="n"/>
      <c r="AU7" s="3" t="n"/>
      <c r="AV7" s="3" t="n"/>
      <c r="AW7" s="3" t="n"/>
      <c r="AX7" s="3" t="n"/>
      <c r="AY7" s="3" t="n"/>
    </row>
    <row r="8">
      <c r="A8" s="3" t="inlineStr">
        <is>
          <t>Arctibax</t>
        </is>
      </c>
      <c r="B8" s="3" t="inlineStr">
        <is>
          <t>shiny rare</t>
        </is>
      </c>
      <c r="C8" s="3" t="n">
        <v>472</v>
      </c>
      <c r="D8" s="3" t="n">
        <v>3.26</v>
      </c>
      <c r="E8" s="3" t="inlineStr"/>
      <c r="F8" s="3">
        <f>IF(B8="common", 4, IF(B8="uncommon", 3, IF(B8="rare", 0.73878, 1)))</f>
        <v/>
      </c>
      <c r="G8" s="3" t="n"/>
      <c r="H8" s="3">
        <f>SUMPRODUCT((B2:B326="special illustration rare") *D2:D326 * F2:F326 / C2:C326)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>
        <f>E8 *1.88541666666666</f>
        <v/>
      </c>
      <c r="AB8" s="3">
        <f>1.88541666666666 * (E8 - AA8)^2</f>
        <v/>
      </c>
      <c r="AC8" s="3" t="n"/>
      <c r="AD8" s="3" t="n"/>
      <c r="AJ8" s="3" t="n"/>
      <c r="AK8" s="3" t="n"/>
      <c r="AL8" s="3" t="n"/>
      <c r="AM8" s="3" t="n"/>
      <c r="AN8" s="3" t="n"/>
      <c r="AT8" s="3" t="n"/>
      <c r="AU8" s="3" t="n"/>
      <c r="AV8" s="3" t="n"/>
      <c r="AW8" s="3" t="n"/>
      <c r="AX8" s="3" t="n"/>
      <c r="AY8" s="3" t="n"/>
    </row>
    <row r="9">
      <c r="A9" s="3" t="inlineStr">
        <is>
          <t>Armarouge - 015/091</t>
        </is>
      </c>
      <c r="B9" s="3" t="inlineStr">
        <is>
          <t>rare</t>
        </is>
      </c>
      <c r="C9" s="3" t="n">
        <v>16</v>
      </c>
      <c r="D9" s="3" t="n">
        <v>0.08</v>
      </c>
      <c r="E9" s="3" t="n">
        <v>0.18</v>
      </c>
      <c r="F9" s="3">
        <f>IF(B9="common", 4, IF(B9="uncommon", 3, IF(B9="rare", 0.73878, 1)))</f>
        <v/>
      </c>
      <c r="G9" s="3" t="n"/>
      <c r="H9" s="3">
        <f>SUMPRODUCT((B2:B326="double rare") *D2:D326 * F2:F326 / C2:C326)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>
        <f>E9 *1.88541666666666</f>
        <v/>
      </c>
      <c r="AB9" s="3">
        <f>1.88541666666666 * (E9 - AA9)^2</f>
        <v/>
      </c>
      <c r="AC9" s="3" t="n"/>
      <c r="AD9" s="3" t="n"/>
      <c r="AJ9" s="3" t="n"/>
      <c r="AK9" s="3" t="n"/>
      <c r="AL9" s="3" t="n"/>
      <c r="AM9" s="3" t="n"/>
      <c r="AN9" s="3" t="n"/>
      <c r="AT9" s="3" t="n"/>
      <c r="AU9" s="3" t="n"/>
      <c r="AV9" s="3" t="n"/>
      <c r="AW9" s="3" t="n"/>
      <c r="AX9" s="3" t="n"/>
      <c r="AY9" s="3" t="n"/>
    </row>
    <row r="10">
      <c r="A10" s="3" t="inlineStr">
        <is>
          <t>Armarouge - 115/091</t>
        </is>
      </c>
      <c r="B10" s="3" t="inlineStr">
        <is>
          <t>shiny rare</t>
        </is>
      </c>
      <c r="C10" s="3" t="n">
        <v>472</v>
      </c>
      <c r="D10" s="3" t="n">
        <v>4.61</v>
      </c>
      <c r="E10" s="3" t="inlineStr"/>
      <c r="F10" s="3">
        <f>IF(B10="common", 4, IF(B10="uncommon", 3, IF(B10="rare", 0.73878, 1)))</f>
        <v/>
      </c>
      <c r="G10" s="3" t="n"/>
      <c r="H10" s="3">
        <f>SUMPRODUCT((B2:B326="ultra rare") *D2:D326 * F2:F326 / C2:C326)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>
        <f>E10 *1.88541666666666</f>
        <v/>
      </c>
      <c r="AB10" s="3">
        <f>1.88541666666666 * (E10 - AA10)^2</f>
        <v/>
      </c>
      <c r="AC10" s="3" t="n"/>
      <c r="AD10" s="3" t="n"/>
      <c r="AJ10" s="3" t="n"/>
      <c r="AK10" s="3" t="n"/>
      <c r="AL10" s="3" t="n"/>
      <c r="AM10" s="3" t="n"/>
      <c r="AN10" s="3" t="n"/>
      <c r="AT10" s="3" t="n"/>
      <c r="AU10" s="3" t="n"/>
      <c r="AV10" s="3" t="n"/>
      <c r="AW10" s="3" t="n"/>
      <c r="AX10" s="3" t="n"/>
      <c r="AY10" s="3" t="n"/>
    </row>
    <row r="11">
      <c r="A11" s="3" t="inlineStr">
        <is>
          <t>Artazon</t>
        </is>
      </c>
      <c r="B11" s="3" t="inlineStr">
        <is>
          <t>uncommon</t>
        </is>
      </c>
      <c r="C11" s="3" t="n">
        <v>25</v>
      </c>
      <c r="D11" s="3" t="n">
        <v>0.15</v>
      </c>
      <c r="E11" s="3" t="n">
        <v>0.32</v>
      </c>
      <c r="F11" s="3">
        <f>IF(B11="common", 4, IF(B11="uncommon", 3, IF(B11="rare", 0.73878, 1)))</f>
        <v/>
      </c>
      <c r="G11" s="3" t="n"/>
      <c r="H11" s="3">
        <f>SUMPRODUCT((B2:B326="black white rare") *D2:D326 * F2:F326 / C2:C326)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>
        <f>E11 *1.88541666666666</f>
        <v/>
      </c>
      <c r="AB11" s="3">
        <f>1.88541666666666 * (E11 - AA11)^2</f>
        <v/>
      </c>
      <c r="AC11" s="3" t="n"/>
      <c r="AD11" s="3" t="n"/>
      <c r="AJ11" s="3" t="n"/>
      <c r="AK11" s="3" t="n"/>
      <c r="AL11" s="3" t="n"/>
      <c r="AM11" s="3" t="n"/>
      <c r="AN11" s="3" t="n"/>
      <c r="AT11" s="3" t="n"/>
      <c r="AU11" s="3" t="n"/>
      <c r="AV11" s="3" t="n"/>
      <c r="AW11" s="3" t="n"/>
      <c r="AX11" s="3" t="n"/>
      <c r="AY11" s="3" t="n"/>
    </row>
    <row r="12">
      <c r="A12" s="3" t="inlineStr">
        <is>
          <t>Arven</t>
        </is>
      </c>
      <c r="B12" s="3" t="inlineStr">
        <is>
          <t>special illustration rare</t>
        </is>
      </c>
      <c r="C12" s="3" t="n">
        <v>465</v>
      </c>
      <c r="D12" s="3" t="n">
        <v>13.97</v>
      </c>
      <c r="E12" s="3" t="inlineStr"/>
      <c r="F12" s="3">
        <f>IF(B12="common", 4, IF(B12="uncommon", 3, IF(B12="rare", 0.73878, 1)))</f>
        <v/>
      </c>
      <c r="G12" s="3" t="n"/>
      <c r="H12" s="7">
        <f>SUMPRODUCT(
ISNUMBER(SEARCH("Poke Ball Pattern",A2:A326))*
D2:D326*1/C2:C326)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>
        <f>E12 *1.88541666666666</f>
        <v/>
      </c>
      <c r="AB12" s="3">
        <f>1.88541666666666 * (E12 - AA12)^2</f>
        <v/>
      </c>
      <c r="AC12" s="3" t="n"/>
      <c r="AD12" s="3" t="n"/>
      <c r="AJ12" s="3" t="n"/>
      <c r="AK12" s="3" t="n"/>
      <c r="AL12" s="3" t="n"/>
      <c r="AM12" s="3" t="n"/>
      <c r="AN12" s="3" t="n"/>
      <c r="AT12" s="3" t="n"/>
      <c r="AU12" s="3" t="n"/>
      <c r="AV12" s="3" t="n"/>
      <c r="AW12" s="3" t="n"/>
      <c r="AX12" s="3" t="n"/>
      <c r="AY12" s="3" t="n"/>
    </row>
    <row r="13">
      <c r="A13" s="3" t="inlineStr">
        <is>
          <t>Atticus</t>
        </is>
      </c>
      <c r="B13" s="3" t="inlineStr">
        <is>
          <t>uncommon</t>
        </is>
      </c>
      <c r="C13" s="3" t="n">
        <v>25</v>
      </c>
      <c r="D13" s="3" t="n">
        <v>0.04</v>
      </c>
      <c r="E13" s="3" t="n">
        <v>0.15</v>
      </c>
      <c r="F13" s="3">
        <f>IF(B13="common", 4, IF(B13="uncommon", 3, IF(B13="rare", 0.73878, 1)))</f>
        <v/>
      </c>
      <c r="G13" s="3" t="n"/>
      <c r="H13" s="3">
        <f>SUMPRODUCT(
ISNUMBER(SEARCH("Master Ball Pattern",A2:A326))*
D2:D326*1/C2:C326)</f>
        <v/>
      </c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>
        <f>E13 *1.88541666666666</f>
        <v/>
      </c>
      <c r="AB13" s="3">
        <f>1.88541666666666 * (E13 - AA13)^2</f>
        <v/>
      </c>
      <c r="AC13" s="3" t="n"/>
      <c r="AD13" s="3" t="n"/>
      <c r="AJ13" s="3" t="n"/>
      <c r="AK13" s="3" t="n"/>
      <c r="AL13" s="3" t="n"/>
      <c r="AM13" s="3" t="n"/>
      <c r="AN13" s="3" t="n"/>
      <c r="AT13" s="3" t="n"/>
      <c r="AU13" s="3" t="n"/>
      <c r="AV13" s="3" t="n"/>
      <c r="AW13" s="3" t="n"/>
      <c r="AX13" s="3" t="n"/>
      <c r="AY13" s="3" t="n"/>
    </row>
    <row r="14">
      <c r="A14" s="3" t="inlineStr">
        <is>
          <t>Barboach</t>
        </is>
      </c>
      <c r="B14" s="3" t="inlineStr">
        <is>
          <t>common</t>
        </is>
      </c>
      <c r="C14" s="3" t="n">
        <v>40</v>
      </c>
      <c r="D14" s="3" t="n">
        <v>0.06</v>
      </c>
      <c r="E14" s="3" t="n">
        <v>0.2</v>
      </c>
      <c r="F14" s="3">
        <f>IF(B14="common", 4, IF(B14="uncommon", 3, IF(B14="rare", 0.73878, 1)))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>
        <f>E14 *1.88541666666666</f>
        <v/>
      </c>
      <c r="AB14" s="3">
        <f>1.88541666666666 * (E14 - AA14)^2</f>
        <v/>
      </c>
      <c r="AC14" s="3" t="n"/>
      <c r="AD14" s="3" t="n"/>
      <c r="AJ14" s="3" t="n"/>
      <c r="AK14" s="3" t="n"/>
      <c r="AL14" s="3" t="n"/>
      <c r="AM14" s="3" t="n"/>
      <c r="AN14" s="3" t="n"/>
      <c r="AT14" s="3" t="n"/>
      <c r="AU14" s="3" t="n"/>
      <c r="AV14" s="3" t="n"/>
      <c r="AW14" s="3" t="n"/>
      <c r="AX14" s="3" t="n"/>
      <c r="AY14" s="3" t="n"/>
    </row>
    <row r="15">
      <c r="A15" s="3" t="inlineStr">
        <is>
          <t>Baxcalibur</t>
        </is>
      </c>
      <c r="B15" s="3" t="inlineStr">
        <is>
          <t>shiny rare</t>
        </is>
      </c>
      <c r="C15" s="3" t="n">
        <v>472</v>
      </c>
      <c r="D15" s="3" t="n">
        <v>3.44</v>
      </c>
      <c r="E15" s="3" t="inlineStr"/>
      <c r="F15" s="3">
        <f>IF(B15="common", 4, IF(B15="uncommon", 3, IF(B15="rare", 0.73878, 1)))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>
        <f>E15 *1.88541666666666</f>
        <v/>
      </c>
      <c r="AB15" s="3">
        <f>1.88541666666666 * (E15 - AA15)^2</f>
        <v/>
      </c>
      <c r="AC15" s="3" t="n"/>
      <c r="AD15" s="3" t="n"/>
      <c r="AJ15" s="3" t="n"/>
      <c r="AK15" s="3" t="n"/>
      <c r="AL15" s="3" t="n"/>
      <c r="AM15" s="3" t="n"/>
      <c r="AN15" s="3" t="n"/>
      <c r="AT15" s="3" t="n"/>
      <c r="AU15" s="3" t="n"/>
      <c r="AV15" s="3" t="n"/>
      <c r="AW15" s="3" t="n"/>
      <c r="AX15" s="3" t="n"/>
      <c r="AY15" s="3" t="n"/>
    </row>
    <row r="16">
      <c r="A16" s="3" t="inlineStr">
        <is>
          <t>Bisharp</t>
        </is>
      </c>
      <c r="B16" s="3" t="inlineStr">
        <is>
          <t>shiny rare</t>
        </is>
      </c>
      <c r="C16" s="3" t="n">
        <v>472</v>
      </c>
      <c r="D16" s="3" t="n">
        <v>2.59</v>
      </c>
      <c r="E16" s="3" t="inlineStr"/>
      <c r="F16" s="3">
        <f>IF(B16="common", 4, IF(B16="uncommon", 3, IF(B16="rare", 0.73878, 1)))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>
        <f>E16 *1.88541666666666</f>
        <v/>
      </c>
      <c r="AB16" s="3">
        <f>1.88541666666666 * (E16 - AA16)^2</f>
        <v/>
      </c>
      <c r="AC16" s="3" t="n"/>
      <c r="AD16" s="3" t="n"/>
      <c r="AJ16" s="3" t="n"/>
      <c r="AK16" s="3" t="n"/>
      <c r="AL16" s="3" t="n"/>
      <c r="AM16" s="3" t="n"/>
      <c r="AN16" s="3" t="n"/>
      <c r="AT16" s="3" t="n"/>
      <c r="AU16" s="3" t="n"/>
      <c r="AV16" s="3" t="n"/>
      <c r="AW16" s="3" t="n"/>
      <c r="AX16" s="3" t="n"/>
      <c r="AY16" s="3" t="n"/>
    </row>
    <row r="17">
      <c r="A17" s="3" t="inlineStr">
        <is>
          <t>Camerupt</t>
        </is>
      </c>
      <c r="B17" s="3" t="inlineStr">
        <is>
          <t>uncommon</t>
        </is>
      </c>
      <c r="C17" s="3" t="n">
        <v>25</v>
      </c>
      <c r="D17" s="3" t="n">
        <v>0.06</v>
      </c>
      <c r="E17" s="3" t="n">
        <v>0.14</v>
      </c>
      <c r="F17" s="3">
        <f>IF(B17="common", 4, IF(B17="uncommon", 3, IF(B17="rare", 0.73878, 1)))</f>
        <v/>
      </c>
      <c r="G17" s="3" t="n"/>
      <c r="H17" s="3">
        <f>AVERAGE(E2:E326)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>
        <f>E17 *1.88541666666666</f>
        <v/>
      </c>
      <c r="AB17" s="3">
        <f>1.88541666666666 * (E17 - AA17)^2</f>
        <v/>
      </c>
      <c r="AC17" s="3" t="n"/>
      <c r="AD17" s="3" t="n"/>
      <c r="AJ17" s="3" t="n"/>
      <c r="AK17" s="3" t="n"/>
      <c r="AL17" s="3" t="n"/>
      <c r="AM17" s="3" t="n"/>
      <c r="AN17" s="3" t="n"/>
      <c r="AT17" s="3" t="n"/>
      <c r="AU17" s="3" t="n"/>
      <c r="AV17" s="3" t="n"/>
      <c r="AW17" s="3" t="n"/>
      <c r="AX17" s="3" t="n"/>
      <c r="AY17" s="3" t="n"/>
    </row>
    <row r="18">
      <c r="A18" s="3" t="inlineStr">
        <is>
          <t>Capsakid</t>
        </is>
      </c>
      <c r="B18" s="3" t="inlineStr">
        <is>
          <t>shiny rare</t>
        </is>
      </c>
      <c r="C18" s="3" t="n">
        <v>472</v>
      </c>
      <c r="D18" s="3" t="n">
        <v>2.16</v>
      </c>
      <c r="E18" s="3" t="inlineStr"/>
      <c r="F18" s="3">
        <f>IF(B18="common", 4, IF(B18="uncommon", 3, IF(B18="rare", 0.73878,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>
        <f>E18 *1.88541666666666</f>
        <v/>
      </c>
      <c r="AB18" s="3">
        <f>1.88541666666666 * (E18 - AA18)^2</f>
        <v/>
      </c>
      <c r="AC18" s="3" t="n"/>
      <c r="AD18" s="3" t="n"/>
      <c r="AJ18" s="3" t="n"/>
      <c r="AK18" s="3" t="n"/>
      <c r="AL18" s="3" t="n"/>
      <c r="AM18" s="3" t="n"/>
      <c r="AN18" s="3" t="n"/>
      <c r="AT18" s="3" t="n"/>
      <c r="AU18" s="3" t="n"/>
      <c r="AV18" s="3" t="n"/>
      <c r="AW18" s="3" t="n"/>
      <c r="AX18" s="3" t="n"/>
      <c r="AY18" s="3" t="n"/>
    </row>
    <row r="19">
      <c r="A19" s="3" t="inlineStr">
        <is>
          <t>Ceruledge - 040/091</t>
        </is>
      </c>
      <c r="B19" s="3" t="inlineStr">
        <is>
          <t>rare</t>
        </is>
      </c>
      <c r="C19" s="3" t="n">
        <v>16</v>
      </c>
      <c r="D19" s="3" t="n">
        <v>0.19</v>
      </c>
      <c r="E19" s="3" t="n">
        <v>0.22</v>
      </c>
      <c r="F19" s="3">
        <f>IF(B19="common", 4, IF(B19="uncommon", 3, IF(B19="rare", 0.73878,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>
        <f>E19 *1.88541666666666</f>
        <v/>
      </c>
      <c r="AB19" s="3">
        <f>1.88541666666666 * (E19 - AA19)^2</f>
        <v/>
      </c>
      <c r="AC19" s="3" t="n"/>
      <c r="AD19" s="3" t="n"/>
      <c r="AJ19" s="3" t="n"/>
      <c r="AK19" s="3" t="n"/>
      <c r="AL19" s="3" t="n"/>
      <c r="AM19" s="3" t="n"/>
      <c r="AN19" s="3" t="n"/>
      <c r="AT19" s="3" t="n"/>
      <c r="AU19" s="3" t="n"/>
      <c r="AV19" s="3" t="n"/>
      <c r="AW19" s="3" t="n"/>
      <c r="AX19" s="3" t="n"/>
      <c r="AY19" s="3" t="n"/>
    </row>
    <row r="20">
      <c r="A20" s="3" t="inlineStr">
        <is>
          <t>Ceruledge - 162/091</t>
        </is>
      </c>
      <c r="B20" s="3" t="inlineStr">
        <is>
          <t>shiny rare</t>
        </is>
      </c>
      <c r="C20" s="3" t="n">
        <v>472</v>
      </c>
      <c r="D20" s="3" t="n">
        <v>6.04</v>
      </c>
      <c r="E20" s="3" t="inlineStr"/>
      <c r="F20" s="3">
        <f>IF(B20="common", 4, IF(B20="uncommon", 3, IF(B20="rare", 0.73878, 1)))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>
        <f>E20 *1.88541666666666</f>
        <v/>
      </c>
      <c r="AB20" s="3">
        <f>1.88541666666666 * (E20 - AA20)^2</f>
        <v/>
      </c>
      <c r="AC20" s="3" t="n"/>
      <c r="AD20" s="3" t="n"/>
      <c r="AJ20" s="3" t="n"/>
      <c r="AK20" s="3" t="n"/>
      <c r="AL20" s="3" t="n"/>
      <c r="AM20" s="3" t="n"/>
      <c r="AN20" s="3" t="n"/>
      <c r="AT20" s="3" t="n"/>
      <c r="AU20" s="3" t="n"/>
      <c r="AV20" s="3" t="n"/>
      <c r="AW20" s="3" t="n"/>
      <c r="AX20" s="3" t="n"/>
      <c r="AY20" s="3" t="n"/>
    </row>
    <row r="21">
      <c r="A21" s="3" t="inlineStr">
        <is>
          <t>Charcadet - 014/091</t>
        </is>
      </c>
      <c r="B21" s="3" t="inlineStr">
        <is>
          <t>common</t>
        </is>
      </c>
      <c r="C21" s="3" t="n">
        <v>40</v>
      </c>
      <c r="D21" s="3" t="n">
        <v>0.05</v>
      </c>
      <c r="E21" s="3" t="n">
        <v>0.09</v>
      </c>
      <c r="F21" s="3">
        <f>IF(B21="common", 4, IF(B21="uncommon", 3, IF(B21="rare", 0.73878, 1)))</f>
        <v/>
      </c>
      <c r="G21" s="3" t="n"/>
      <c r="H21" s="3">
        <f>COUNTIF(B:B, "common")</f>
        <v/>
      </c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>
        <f>E21 *1.88541666666666</f>
        <v/>
      </c>
      <c r="AB21" s="3">
        <f>1.88541666666666 * (E21 - AA21)^2</f>
        <v/>
      </c>
      <c r="AC21" s="3" t="n"/>
      <c r="AD21" s="3" t="n"/>
      <c r="AJ21" s="3" t="n"/>
      <c r="AK21" s="3" t="n"/>
      <c r="AL21" s="3" t="n"/>
      <c r="AM21" s="3" t="n"/>
      <c r="AN21" s="3" t="n"/>
      <c r="AT21" s="3" t="n"/>
      <c r="AU21" s="3" t="n"/>
      <c r="AV21" s="3" t="n"/>
      <c r="AW21" s="3" t="n"/>
      <c r="AX21" s="3" t="n"/>
      <c r="AY21" s="3" t="n"/>
    </row>
    <row r="22">
      <c r="A22" s="3" t="inlineStr">
        <is>
          <t>Charcadet - 114/091</t>
        </is>
      </c>
      <c r="B22" s="3" t="inlineStr">
        <is>
          <t>shiny rare</t>
        </is>
      </c>
      <c r="C22" s="3" t="n">
        <v>472</v>
      </c>
      <c r="D22" s="3" t="n">
        <v>5.52</v>
      </c>
      <c r="E22" s="3" t="inlineStr"/>
      <c r="F22" s="3">
        <f>IF(B22="common", 4, IF(B22="uncommon", 3, IF(B22="rare", 0.73878, 1)))</f>
        <v/>
      </c>
      <c r="G22" s="3" t="n"/>
      <c r="H22" s="3">
        <f>COUNTIF(B:B, "uncommon")</f>
        <v/>
      </c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>
        <f>E22 *1.88541666666666</f>
        <v/>
      </c>
      <c r="AB22" s="3">
        <f>1.88541666666666 * (E22 - AA22)^2</f>
        <v/>
      </c>
      <c r="AC22" s="3" t="n"/>
      <c r="AD22" s="3" t="n"/>
      <c r="AJ22" s="3" t="n"/>
      <c r="AK22" s="3" t="n"/>
      <c r="AL22" s="3" t="n"/>
      <c r="AM22" s="3" t="n"/>
      <c r="AN22" s="3" t="n"/>
      <c r="AT22" s="3" t="n"/>
      <c r="AU22" s="3" t="n"/>
      <c r="AV22" s="3" t="n"/>
      <c r="AW22" s="3" t="n"/>
      <c r="AX22" s="3" t="n"/>
      <c r="AY22" s="3" t="n"/>
    </row>
    <row r="23">
      <c r="A23" s="3" t="inlineStr">
        <is>
          <t>Charizard ex - 054/091</t>
        </is>
      </c>
      <c r="B23" s="3" t="inlineStr">
        <is>
          <t>double rare</t>
        </is>
      </c>
      <c r="C23" s="3" t="n">
        <v>63</v>
      </c>
      <c r="D23" s="3" t="n">
        <v>3.74</v>
      </c>
      <c r="E23" s="3" t="inlineStr"/>
      <c r="F23" s="3">
        <f>IF(B23="common", 4, IF(B23="uncommon", 3, IF(B23="rare", 0.73878, 1)))</f>
        <v/>
      </c>
      <c r="G23" s="3" t="n"/>
      <c r="H23" s="3">
        <f>COUNTIF(B:B, "rare")</f>
        <v/>
      </c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>
        <f>E23 *1.88541666666666</f>
        <v/>
      </c>
      <c r="AB23" s="3">
        <f>1.88541666666666 * (E23 - AA23)^2</f>
        <v/>
      </c>
      <c r="AC23" s="3" t="n"/>
      <c r="AD23" s="3" t="n"/>
      <c r="AJ23" s="3" t="n"/>
      <c r="AK23" s="3" t="n"/>
      <c r="AL23" s="3" t="n"/>
      <c r="AM23" s="3" t="n"/>
      <c r="AN23" s="3" t="n"/>
      <c r="AT23" s="3" t="n"/>
      <c r="AU23" s="3" t="n"/>
      <c r="AV23" s="3" t="n"/>
      <c r="AW23" s="3" t="n"/>
      <c r="AX23" s="3" t="n"/>
      <c r="AY23" s="3" t="n"/>
    </row>
    <row r="24">
      <c r="A24" s="3" t="inlineStr">
        <is>
          <t>Charizard ex - 234/091</t>
        </is>
      </c>
      <c r="B24" s="3" t="inlineStr">
        <is>
          <t>special illustration rare</t>
        </is>
      </c>
      <c r="C24" s="3" t="n">
        <v>465</v>
      </c>
      <c r="D24" s="3" t="n">
        <v>268.34</v>
      </c>
      <c r="E24" s="3" t="inlineStr"/>
      <c r="F24" s="3">
        <f>IF(B24="common", 4, IF(B24="uncommon", 3, IF(B24="rare", 0.73878, 1)))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>
        <f>E24 *1.88541666666666</f>
        <v/>
      </c>
      <c r="AB24" s="3">
        <f>1.88541666666666 * (E24 - AA24)^2</f>
        <v/>
      </c>
      <c r="AC24" s="3" t="n"/>
      <c r="AD24" s="3" t="n"/>
      <c r="AJ24" s="3" t="n"/>
      <c r="AK24" s="3" t="n"/>
      <c r="AL24" s="3" t="n"/>
      <c r="AM24" s="3" t="n"/>
      <c r="AN24" s="3" t="n"/>
      <c r="AT24" s="3" t="n"/>
      <c r="AU24" s="3" t="n"/>
      <c r="AV24" s="3" t="n"/>
      <c r="AW24" s="3" t="n"/>
      <c r="AX24" s="3" t="n"/>
      <c r="AY24" s="3" t="n"/>
    </row>
    <row r="25">
      <c r="A25" s="3" t="inlineStr">
        <is>
          <t>Charmander - 007/091</t>
        </is>
      </c>
      <c r="B25" s="3" t="inlineStr">
        <is>
          <t>common</t>
        </is>
      </c>
      <c r="C25" s="3" t="n">
        <v>40</v>
      </c>
      <c r="D25" s="3" t="n">
        <v>0.1</v>
      </c>
      <c r="E25" s="3" t="n">
        <v>0.26</v>
      </c>
      <c r="F25" s="3">
        <f>IF(B25="common", 4, IF(B25="uncommon", 3, IF(B25="rare", 0.73878, 1)))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>
        <f>E25 *1.88541666666666</f>
        <v/>
      </c>
      <c r="AB25" s="3">
        <f>1.88541666666666 * (E25 - AA25)^2</f>
        <v/>
      </c>
      <c r="AC25" s="3" t="n"/>
      <c r="AD25" s="3" t="n"/>
      <c r="AJ25" s="3" t="n"/>
      <c r="AK25" s="3" t="n"/>
      <c r="AL25" s="3" t="n"/>
      <c r="AM25" s="3" t="n"/>
      <c r="AN25" s="3" t="n"/>
      <c r="AT25" s="3" t="n"/>
      <c r="AU25" s="3" t="n"/>
      <c r="AV25" s="3" t="n"/>
      <c r="AW25" s="3" t="n"/>
      <c r="AX25" s="3" t="n"/>
      <c r="AY25" s="3" t="n"/>
    </row>
    <row r="26">
      <c r="A26" s="3" t="inlineStr">
        <is>
          <t>Charmander - 109/091</t>
        </is>
      </c>
      <c r="B26" s="3" t="inlineStr">
        <is>
          <t>shiny rare</t>
        </is>
      </c>
      <c r="C26" s="3" t="n">
        <v>472</v>
      </c>
      <c r="D26" s="3" t="n">
        <v>23.18</v>
      </c>
      <c r="E26" s="3" t="inlineStr"/>
      <c r="F26" s="3">
        <f>IF(B26="common", 4, IF(B26="uncommon", 3, IF(B26="rare", 0.73878, 1)))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>
        <f>E26 *1.88541666666666</f>
        <v/>
      </c>
      <c r="AB26" s="3">
        <f>1.88541666666666 * (E26 - AA26)^2</f>
        <v/>
      </c>
      <c r="AC26" s="3" t="n"/>
      <c r="AD26" s="3" t="n"/>
      <c r="AJ26" s="3" t="n"/>
      <c r="AK26" s="3" t="n"/>
      <c r="AL26" s="3" t="n"/>
      <c r="AM26" s="3" t="n"/>
      <c r="AN26" s="3" t="n"/>
      <c r="AT26" s="3" t="n"/>
      <c r="AU26" s="3" t="n"/>
      <c r="AV26" s="3" t="n"/>
      <c r="AW26" s="3" t="n"/>
      <c r="AX26" s="3" t="n"/>
      <c r="AY26" s="3" t="n"/>
    </row>
    <row r="27">
      <c r="A27" s="3" t="inlineStr">
        <is>
          <t>Charmeleon - 008/091</t>
        </is>
      </c>
      <c r="B27" s="3" t="inlineStr">
        <is>
          <t>uncommon</t>
        </is>
      </c>
      <c r="C27" s="3" t="n">
        <v>25</v>
      </c>
      <c r="D27" s="3" t="n">
        <v>0.11</v>
      </c>
      <c r="E27" s="3" t="n">
        <v>0.28</v>
      </c>
      <c r="F27" s="3">
        <f>IF(B27="common", 4, IF(B27="uncommon", 3, IF(B27="rare", 0.73878,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>
        <f>E27 *1.88541666666666</f>
        <v/>
      </c>
      <c r="AB27" s="3">
        <f>1.88541666666666 * (E27 - AA27)^2</f>
        <v/>
      </c>
      <c r="AC27" s="3" t="n"/>
      <c r="AD27" s="3" t="n"/>
      <c r="AJ27" s="3" t="n"/>
      <c r="AK27" s="3" t="n"/>
      <c r="AL27" s="3" t="n"/>
      <c r="AM27" s="3" t="n"/>
      <c r="AN27" s="3" t="n"/>
      <c r="AT27" s="3" t="n"/>
      <c r="AU27" s="3" t="n"/>
      <c r="AV27" s="3" t="n"/>
      <c r="AW27" s="3" t="n"/>
      <c r="AX27" s="3" t="n"/>
      <c r="AY27" s="3" t="n"/>
    </row>
    <row r="28">
      <c r="A28" s="3" t="inlineStr">
        <is>
          <t>Charmeleon - 110/091</t>
        </is>
      </c>
      <c r="B28" s="3" t="inlineStr">
        <is>
          <t>shiny rare</t>
        </is>
      </c>
      <c r="C28" s="3" t="n">
        <v>472</v>
      </c>
      <c r="D28" s="3" t="n">
        <v>12.18</v>
      </c>
      <c r="E28" s="3" t="inlineStr"/>
      <c r="F28" s="3">
        <f>IF(B28="common", 4, IF(B28="uncommon", 3, IF(B28="rare", 0.73878,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>
        <f>E28 *1.88541666666666</f>
        <v/>
      </c>
      <c r="AB28" s="3">
        <f>1.88541666666666 * (E28 - AA28)^2</f>
        <v/>
      </c>
      <c r="AC28" s="3" t="n"/>
      <c r="AD28" s="3" t="n"/>
      <c r="AJ28" s="3" t="n"/>
      <c r="AK28" s="3" t="n"/>
      <c r="AL28" s="3" t="n"/>
      <c r="AM28" s="3" t="n"/>
      <c r="AN28" s="3" t="n"/>
      <c r="AT28" s="3" t="n"/>
      <c r="AU28" s="3" t="n"/>
      <c r="AV28" s="3" t="n"/>
      <c r="AW28" s="3" t="n"/>
      <c r="AX28" s="3" t="n"/>
      <c r="AY28" s="3" t="n"/>
    </row>
    <row r="29">
      <c r="A29" s="3" t="inlineStr">
        <is>
          <t>Chi-Yu ex</t>
        </is>
      </c>
      <c r="B29" s="3" t="inlineStr">
        <is>
          <t>hyper rare</t>
        </is>
      </c>
      <c r="C29" s="3" t="n">
        <v>372</v>
      </c>
      <c r="D29" s="3" t="n">
        <v>7.28</v>
      </c>
      <c r="E29" s="3" t="inlineStr"/>
      <c r="F29" s="3">
        <f>IF(B29="common", 4, IF(B29="uncommon", 3, IF(B29="rare", 0.73878, 1)))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>
        <f>E29 *1.88541666666666</f>
        <v/>
      </c>
      <c r="AB29" s="3">
        <f>1.88541666666666 * (E29 - AA29)^2</f>
        <v/>
      </c>
      <c r="AC29" s="3" t="n"/>
      <c r="AD29" s="3" t="n"/>
      <c r="AJ29" s="3" t="n"/>
      <c r="AK29" s="3" t="n"/>
      <c r="AL29" s="3" t="n"/>
      <c r="AM29" s="3" t="n"/>
      <c r="AN29" s="3" t="n"/>
      <c r="AT29" s="3" t="n"/>
      <c r="AU29" s="3" t="n"/>
      <c r="AV29" s="3" t="n"/>
      <c r="AW29" s="3" t="n"/>
      <c r="AX29" s="3" t="n"/>
      <c r="AY29" s="3" t="n"/>
    </row>
    <row r="30">
      <c r="A30" s="3" t="inlineStr">
        <is>
          <t>Chien-Pao ex</t>
        </is>
      </c>
      <c r="B30" s="3" t="inlineStr">
        <is>
          <t>hyper rare</t>
        </is>
      </c>
      <c r="C30" s="3" t="n">
        <v>372</v>
      </c>
      <c r="D30" s="3" t="n">
        <v>6.12</v>
      </c>
      <c r="E30" s="3" t="inlineStr"/>
      <c r="F30" s="3">
        <f>IF(B30="common", 4, IF(B30="uncommon", 3, IF(B30="rare", 0.73878,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>
        <f>E30 *1.88541666666666</f>
        <v/>
      </c>
      <c r="AB30" s="3">
        <f>1.88541666666666 * (E30 - AA30)^2</f>
        <v/>
      </c>
      <c r="AC30" s="3" t="n"/>
      <c r="AD30" s="3" t="n"/>
      <c r="AJ30" s="3" t="n"/>
      <c r="AK30" s="3" t="n"/>
      <c r="AL30" s="3" t="n"/>
      <c r="AM30" s="3" t="n"/>
      <c r="AN30" s="3" t="n"/>
      <c r="AT30" s="3" t="n"/>
      <c r="AU30" s="3" t="n"/>
      <c r="AV30" s="3" t="n"/>
      <c r="AW30" s="3" t="n"/>
      <c r="AX30" s="3" t="n"/>
      <c r="AY30" s="3" t="n"/>
    </row>
    <row r="31">
      <c r="A31" s="3" t="inlineStr">
        <is>
          <t>Chimecho</t>
        </is>
      </c>
      <c r="B31" s="3" t="inlineStr">
        <is>
          <t>common</t>
        </is>
      </c>
      <c r="C31" s="3" t="n">
        <v>40</v>
      </c>
      <c r="D31" s="3" t="n">
        <v>0.06</v>
      </c>
      <c r="E31" s="3" t="n">
        <v>0.09</v>
      </c>
      <c r="F31" s="3">
        <f>IF(B31="common", 4, IF(B31="uncommon", 3, IF(B31="rare", 0.73878,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>
        <f>E31 *1.88541666666666</f>
        <v/>
      </c>
      <c r="AB31" s="3">
        <f>1.88541666666666 * (E31 - AA31)^2</f>
        <v/>
      </c>
      <c r="AC31" s="3" t="n"/>
      <c r="AD31" s="3" t="n"/>
      <c r="AJ31" s="3" t="n"/>
      <c r="AK31" s="3" t="n"/>
      <c r="AL31" s="3" t="n"/>
      <c r="AM31" s="3" t="n"/>
      <c r="AN31" s="3" t="n"/>
      <c r="AT31" s="3" t="n"/>
      <c r="AU31" s="3" t="n"/>
      <c r="AV31" s="3" t="n"/>
      <c r="AW31" s="3" t="n"/>
      <c r="AX31" s="3" t="n"/>
      <c r="AY31" s="3" t="n"/>
    </row>
    <row r="32">
      <c r="A32" s="3" t="inlineStr">
        <is>
          <t>Chinchou</t>
        </is>
      </c>
      <c r="B32" s="3" t="inlineStr">
        <is>
          <t>common</t>
        </is>
      </c>
      <c r="C32" s="3" t="n">
        <v>40</v>
      </c>
      <c r="D32" s="3" t="n">
        <v>0.04</v>
      </c>
      <c r="E32" s="3" t="n">
        <v>0.09</v>
      </c>
      <c r="F32" s="3">
        <f>IF(B32="common", 4, IF(B32="uncommon", 3, IF(B32="rare", 0.73878,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>
        <f>E32 *1.88541666666666</f>
        <v/>
      </c>
      <c r="AB32" s="3">
        <f>1.88541666666666 * (E32 - AA32)^2</f>
        <v/>
      </c>
      <c r="AC32" s="3" t="n"/>
      <c r="AD32" s="3" t="n"/>
      <c r="AJ32" s="3" t="n"/>
      <c r="AK32" s="3" t="n"/>
      <c r="AL32" s="3" t="n"/>
      <c r="AM32" s="3" t="n"/>
      <c r="AN32" s="3" t="n"/>
      <c r="AT32" s="3" t="n"/>
      <c r="AU32" s="3" t="n"/>
      <c r="AV32" s="3" t="n"/>
      <c r="AW32" s="3" t="n"/>
      <c r="AX32" s="3" t="n"/>
      <c r="AY32" s="3" t="n"/>
    </row>
    <row r="33">
      <c r="A33" s="3" t="inlineStr">
        <is>
          <t>Cleffa</t>
        </is>
      </c>
      <c r="B33" s="3" t="inlineStr">
        <is>
          <t>shiny rare</t>
        </is>
      </c>
      <c r="C33" s="3" t="n">
        <v>472</v>
      </c>
      <c r="D33" s="3" t="n">
        <v>3.25</v>
      </c>
      <c r="E33" s="3" t="inlineStr"/>
      <c r="F33" s="3">
        <f>IF(B33="common", 4, IF(B33="uncommon", 3, IF(B33="rare", 0.73878,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>
        <f>E33 *1.88541666666666</f>
        <v/>
      </c>
      <c r="AB33" s="3">
        <f>1.88541666666666 * (E33 - AA33)^2</f>
        <v/>
      </c>
      <c r="AC33" s="3" t="n"/>
      <c r="AD33" s="3" t="n"/>
      <c r="AJ33" s="3" t="n"/>
      <c r="AK33" s="3" t="n"/>
      <c r="AL33" s="3" t="n"/>
      <c r="AM33" s="3" t="n"/>
      <c r="AN33" s="3" t="n"/>
      <c r="AT33" s="3" t="n"/>
      <c r="AU33" s="3" t="n"/>
      <c r="AV33" s="3" t="n"/>
      <c r="AW33" s="3" t="n"/>
      <c r="AX33" s="3" t="n"/>
      <c r="AY33" s="3" t="n"/>
    </row>
    <row r="34">
      <c r="A34" s="3" t="inlineStr">
        <is>
          <t>Clive - 078/091</t>
        </is>
      </c>
      <c r="B34" s="3" t="inlineStr">
        <is>
          <t>uncommon</t>
        </is>
      </c>
      <c r="C34" s="3" t="n">
        <v>25</v>
      </c>
      <c r="D34" s="3" t="n">
        <v>0.04</v>
      </c>
      <c r="E34" s="3" t="n">
        <v>0.11</v>
      </c>
      <c r="F34" s="3">
        <f>IF(B34="common", 4, IF(B34="uncommon", 3, IF(B34="rare", 0.73878,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>
        <f>E34 *1.88541666666666</f>
        <v/>
      </c>
      <c r="AB34" s="3">
        <f>1.88541666666666 * (E34 - AA34)^2</f>
        <v/>
      </c>
      <c r="AC34" s="3" t="n"/>
      <c r="AD34" s="3" t="n"/>
      <c r="AJ34" s="3" t="n"/>
      <c r="AK34" s="3" t="n"/>
      <c r="AL34" s="3" t="n"/>
      <c r="AM34" s="3" t="n"/>
      <c r="AN34" s="3" t="n"/>
      <c r="AT34" s="3" t="n"/>
      <c r="AU34" s="3" t="n"/>
      <c r="AV34" s="3" t="n"/>
      <c r="AW34" s="3" t="n"/>
      <c r="AX34" s="3" t="n"/>
      <c r="AY34" s="3" t="n"/>
    </row>
    <row r="35">
      <c r="A35" s="3" t="inlineStr">
        <is>
          <t>Clive - 227/091</t>
        </is>
      </c>
      <c r="B35" s="3" t="inlineStr">
        <is>
          <t>ultra rare</t>
        </is>
      </c>
      <c r="C35" s="3" t="n">
        <v>76</v>
      </c>
      <c r="D35" s="3" t="n">
        <v>0.48</v>
      </c>
      <c r="E35" s="3" t="inlineStr"/>
      <c r="F35" s="3">
        <f>IF(B35="common", 4, IF(B35="uncommon", 3, IF(B35="rare", 0.73878,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>
        <f>E35 *1.88541666666666</f>
        <v/>
      </c>
      <c r="AB35" s="3">
        <f>1.88541666666666 * (E35 - AA35)^2</f>
        <v/>
      </c>
      <c r="AC35" s="3" t="n"/>
      <c r="AD35" s="3" t="n"/>
      <c r="AJ35" s="3" t="n"/>
      <c r="AK35" s="3" t="n"/>
      <c r="AL35" s="3" t="n"/>
      <c r="AM35" s="3" t="n"/>
      <c r="AN35" s="3" t="n"/>
      <c r="AT35" s="3" t="n"/>
      <c r="AU35" s="3" t="n"/>
      <c r="AV35" s="3" t="n"/>
      <c r="AW35" s="3" t="n"/>
      <c r="AX35" s="3" t="n"/>
      <c r="AY35" s="3" t="n"/>
    </row>
    <row r="36">
      <c r="A36" s="3" t="inlineStr">
        <is>
          <t>Clive - 236/091</t>
        </is>
      </c>
      <c r="B36" s="3" t="inlineStr">
        <is>
          <t>special illustration rare</t>
        </is>
      </c>
      <c r="C36" s="3" t="n">
        <v>465</v>
      </c>
      <c r="D36" s="3" t="n">
        <v>17.21</v>
      </c>
      <c r="E36" s="3" t="inlineStr"/>
      <c r="F36" s="3">
        <f>IF(B36="common", 4, IF(B36="uncommon", 3, IF(B36="rare", 0.73878,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>
        <f>E36 *1.88541666666666</f>
        <v/>
      </c>
      <c r="AB36" s="3">
        <f>1.88541666666666 * (E36 - AA36)^2</f>
        <v/>
      </c>
      <c r="AC36" s="3" t="n"/>
      <c r="AD36" s="3" t="n"/>
      <c r="AJ36" s="3" t="n"/>
      <c r="AK36" s="3" t="n"/>
      <c r="AL36" s="3" t="n"/>
      <c r="AM36" s="3" t="n"/>
      <c r="AN36" s="3" t="n"/>
      <c r="AT36" s="3" t="n"/>
      <c r="AU36" s="3" t="n"/>
      <c r="AV36" s="3" t="n"/>
      <c r="AW36" s="3" t="n"/>
      <c r="AX36" s="3" t="n"/>
      <c r="AY36" s="3" t="n"/>
    </row>
    <row r="37">
      <c r="A37" s="3" t="inlineStr">
        <is>
          <t>Clobbopus</t>
        </is>
      </c>
      <c r="B37" s="3" t="inlineStr">
        <is>
          <t>common</t>
        </is>
      </c>
      <c r="C37" s="3" t="n">
        <v>40</v>
      </c>
      <c r="D37" s="3" t="n">
        <v>0.02</v>
      </c>
      <c r="E37" s="3" t="n">
        <v>0.11</v>
      </c>
      <c r="F37" s="3">
        <f>IF(B37="common", 4, IF(B37="uncommon", 3, IF(B37="rare", 0.73878,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>
        <f>E37 *1.88541666666666</f>
        <v/>
      </c>
      <c r="AB37" s="3">
        <f>1.88541666666666 * (E37 - AA37)^2</f>
        <v/>
      </c>
      <c r="AC37" s="3" t="n"/>
      <c r="AD37" s="3" t="n"/>
      <c r="AJ37" s="3" t="n"/>
      <c r="AK37" s="3" t="n"/>
      <c r="AL37" s="3" t="n"/>
      <c r="AM37" s="3" t="n"/>
      <c r="AN37" s="3" t="n"/>
      <c r="AT37" s="3" t="n"/>
      <c r="AU37" s="3" t="n"/>
      <c r="AV37" s="3" t="n"/>
      <c r="AW37" s="3" t="n"/>
      <c r="AX37" s="3" t="n"/>
      <c r="AY37" s="3" t="n"/>
    </row>
    <row r="38">
      <c r="A38" s="3" t="inlineStr">
        <is>
          <t>Cottonee</t>
        </is>
      </c>
      <c r="B38" s="3" t="inlineStr">
        <is>
          <t>common</t>
        </is>
      </c>
      <c r="C38" s="3" t="n">
        <v>40</v>
      </c>
      <c r="D38" s="3" t="n">
        <v>0.06</v>
      </c>
      <c r="E38" s="3" t="n">
        <v>0.08</v>
      </c>
      <c r="F38" s="3">
        <f>IF(B38="common", 4, IF(B38="uncommon", 3, IF(B38="rare", 0.73878,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>
        <f>E38 *1.88541666666666</f>
        <v/>
      </c>
      <c r="AB38" s="3">
        <f>1.88541666666666 * (E38 - AA38)^2</f>
        <v/>
      </c>
      <c r="AC38" s="3" t="n"/>
      <c r="AD38" s="3" t="n"/>
      <c r="AJ38" s="3" t="n"/>
      <c r="AK38" s="3" t="n"/>
      <c r="AL38" s="3" t="n"/>
      <c r="AM38" s="3" t="n"/>
      <c r="AN38" s="3" t="n"/>
      <c r="AT38" s="3" t="n"/>
      <c r="AU38" s="3" t="n"/>
      <c r="AV38" s="3" t="n"/>
      <c r="AW38" s="3" t="n"/>
      <c r="AX38" s="3" t="n"/>
      <c r="AY38" s="3" t="n"/>
    </row>
    <row r="39">
      <c r="A39" s="3" t="inlineStr">
        <is>
          <t>Cyclizar - 070/091</t>
        </is>
      </c>
      <c r="B39" s="3" t="inlineStr">
        <is>
          <t>rare</t>
        </is>
      </c>
      <c r="C39" s="3" t="n">
        <v>16</v>
      </c>
      <c r="D39" s="3" t="n">
        <v>0.09</v>
      </c>
      <c r="E39" s="3" t="n">
        <v>0.17</v>
      </c>
      <c r="F39" s="3">
        <f>IF(B39="common", 4, IF(B39="uncommon", 3, IF(B39="rare", 0.73878,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>
        <f>E39 *1.88541666666666</f>
        <v/>
      </c>
      <c r="AB39" s="3">
        <f>1.88541666666666 * (E39 - AA39)^2</f>
        <v/>
      </c>
      <c r="AC39" s="3" t="n"/>
      <c r="AD39" s="3" t="n"/>
      <c r="AJ39" s="3" t="n"/>
      <c r="AK39" s="3" t="n"/>
      <c r="AL39" s="3" t="n"/>
      <c r="AM39" s="3" t="n"/>
      <c r="AN39" s="3" t="n"/>
      <c r="AT39" s="3" t="n"/>
      <c r="AU39" s="3" t="n"/>
      <c r="AV39" s="3" t="n"/>
      <c r="AW39" s="3" t="n"/>
      <c r="AX39" s="3" t="n"/>
      <c r="AY39" s="3" t="n"/>
    </row>
    <row r="40">
      <c r="A40" s="3" t="inlineStr">
        <is>
          <t>Cyclizar - 195/091</t>
        </is>
      </c>
      <c r="B40" s="3" t="inlineStr">
        <is>
          <t>shiny rare</t>
        </is>
      </c>
      <c r="C40" s="3" t="n">
        <v>472</v>
      </c>
      <c r="D40" s="3" t="n">
        <v>1.84</v>
      </c>
      <c r="E40" s="3" t="inlineStr"/>
      <c r="F40" s="3">
        <f>IF(B40="common", 4, IF(B40="uncommon", 3, IF(B40="rare", 0.73878,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>
        <f>E40 *1.88541666666666</f>
        <v/>
      </c>
      <c r="AB40" s="3">
        <f>1.88541666666666 * (E40 - AA40)^2</f>
        <v/>
      </c>
      <c r="AC40" s="3" t="n"/>
      <c r="AD40" s="3" t="n"/>
      <c r="AJ40" s="3" t="n"/>
      <c r="AK40" s="3" t="n"/>
      <c r="AL40" s="3" t="n"/>
      <c r="AM40" s="3" t="n"/>
      <c r="AN40" s="3" t="n"/>
      <c r="AT40" s="3" t="n"/>
      <c r="AU40" s="3" t="n"/>
      <c r="AV40" s="3" t="n"/>
      <c r="AW40" s="3" t="n"/>
      <c r="AX40" s="3" t="n"/>
      <c r="AY40" s="3" t="n"/>
    </row>
    <row r="41">
      <c r="A41" s="3" t="inlineStr">
        <is>
          <t>Dachsbun - 039/091</t>
        </is>
      </c>
      <c r="B41" s="3" t="inlineStr">
        <is>
          <t>uncommon</t>
        </is>
      </c>
      <c r="C41" s="3" t="n">
        <v>25</v>
      </c>
      <c r="D41" s="3" t="n">
        <v>0.08</v>
      </c>
      <c r="E41" s="3" t="n">
        <v>0.18</v>
      </c>
      <c r="F41" s="3">
        <f>IF(B41="common", 4, IF(B41="uncommon", 3, IF(B41="rare", 0.73878,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>
        <f>E41 *1.88541666666666</f>
        <v/>
      </c>
      <c r="AB41" s="3">
        <f>1.88541666666666 * (E41 - AA41)^2</f>
        <v/>
      </c>
      <c r="AC41" s="3" t="n"/>
      <c r="AD41" s="3" t="n"/>
      <c r="AJ41" s="3" t="n"/>
      <c r="AK41" s="3" t="n"/>
      <c r="AL41" s="3" t="n"/>
      <c r="AM41" s="3" t="n"/>
      <c r="AN41" s="3" t="n"/>
      <c r="AT41" s="3" t="n"/>
      <c r="AU41" s="3" t="n"/>
      <c r="AV41" s="3" t="n"/>
      <c r="AW41" s="3" t="n"/>
      <c r="AX41" s="3" t="n"/>
      <c r="AY41" s="3" t="n"/>
    </row>
    <row r="42">
      <c r="A42" s="3" t="inlineStr">
        <is>
          <t>Dachsbun - 161/091</t>
        </is>
      </c>
      <c r="B42" s="3" t="inlineStr">
        <is>
          <t>shiny rare</t>
        </is>
      </c>
      <c r="C42" s="3" t="n">
        <v>472</v>
      </c>
      <c r="D42" s="3" t="n">
        <v>4.6</v>
      </c>
      <c r="E42" s="3" t="inlineStr"/>
      <c r="F42" s="3">
        <f>IF(B42="common", 4, IF(B42="uncommon", 3, IF(B42="rare", 0.73878,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>
        <f>E42 *1.88541666666666</f>
        <v/>
      </c>
      <c r="AB42" s="3">
        <f>1.88541666666666 * (E42 - AA42)^2</f>
        <v/>
      </c>
      <c r="AC42" s="3" t="n"/>
      <c r="AD42" s="3" t="n"/>
      <c r="AJ42" s="3" t="n"/>
      <c r="AK42" s="3" t="n"/>
      <c r="AL42" s="3" t="n"/>
      <c r="AM42" s="3" t="n"/>
      <c r="AN42" s="3" t="n"/>
      <c r="AT42" s="3" t="n"/>
      <c r="AU42" s="3" t="n"/>
      <c r="AV42" s="3" t="n"/>
      <c r="AW42" s="3" t="n"/>
      <c r="AX42" s="3" t="n"/>
      <c r="AY42" s="3" t="n"/>
    </row>
    <row r="43">
      <c r="A43" s="3" t="inlineStr">
        <is>
          <t>Dedenne</t>
        </is>
      </c>
      <c r="B43" s="3" t="inlineStr">
        <is>
          <t>common</t>
        </is>
      </c>
      <c r="C43" s="3" t="n">
        <v>40</v>
      </c>
      <c r="D43" s="3" t="n">
        <v>0.09</v>
      </c>
      <c r="E43" s="3" t="n">
        <v>0.12</v>
      </c>
      <c r="F43" s="3">
        <f>IF(B43="common", 4, IF(B43="uncommon", 3, IF(B43="rare", 0.73878,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>
        <f>E43 *1.88541666666666</f>
        <v/>
      </c>
      <c r="AB43" s="3">
        <f>1.88541666666666 * (E43 - AA43)^2</f>
        <v/>
      </c>
      <c r="AC43" s="3" t="n"/>
      <c r="AD43" s="3" t="n"/>
      <c r="AJ43" s="3" t="n"/>
      <c r="AK43" s="3" t="n"/>
      <c r="AL43" s="3" t="n"/>
      <c r="AM43" s="3" t="n"/>
      <c r="AN43" s="3" t="n"/>
      <c r="AT43" s="3" t="n"/>
      <c r="AU43" s="3" t="n"/>
      <c r="AV43" s="3" t="n"/>
      <c r="AW43" s="3" t="n"/>
      <c r="AX43" s="3" t="n"/>
      <c r="AY43" s="3" t="n"/>
    </row>
    <row r="44">
      <c r="A44" s="3" t="inlineStr">
        <is>
          <t>Ditto</t>
        </is>
      </c>
      <c r="B44" s="3" t="inlineStr">
        <is>
          <t>shiny rare</t>
        </is>
      </c>
      <c r="C44" s="3" t="n">
        <v>472</v>
      </c>
      <c r="D44" s="3" t="n">
        <v>19.35</v>
      </c>
      <c r="E44" s="3" t="inlineStr"/>
      <c r="F44" s="3">
        <f>IF(B44="common", 4, IF(B44="uncommon", 3, IF(B44="rare", 0.73878,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>
        <f>E44 *1.88541666666666</f>
        <v/>
      </c>
      <c r="AB44" s="3">
        <f>1.88541666666666 * (E44 - AA44)^2</f>
        <v/>
      </c>
      <c r="AC44" s="3" t="n"/>
      <c r="AD44" s="3" t="n"/>
      <c r="AJ44" s="3" t="n"/>
      <c r="AK44" s="3" t="n"/>
      <c r="AL44" s="3" t="n"/>
      <c r="AM44" s="3" t="n"/>
      <c r="AN44" s="3" t="n"/>
      <c r="AT44" s="3" t="n"/>
      <c r="AU44" s="3" t="n"/>
      <c r="AV44" s="3" t="n"/>
      <c r="AW44" s="3" t="n"/>
      <c r="AX44" s="3" t="n"/>
      <c r="AY44" s="3" t="n"/>
    </row>
    <row r="45">
      <c r="A45" s="3" t="inlineStr">
        <is>
          <t>Dodrio</t>
        </is>
      </c>
      <c r="B45" s="3" t="inlineStr">
        <is>
          <t>shiny rare</t>
        </is>
      </c>
      <c r="C45" s="3" t="n">
        <v>472</v>
      </c>
      <c r="D45" s="3" t="n">
        <v>3.12</v>
      </c>
      <c r="E45" s="3" t="inlineStr"/>
      <c r="F45" s="3">
        <f>IF(B45="common", 4, IF(B45="uncommon", 3, IF(B45="rare", 0.73878,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>
        <f>E45 *1.88541666666666</f>
        <v/>
      </c>
      <c r="AB45" s="3">
        <f>1.88541666666666 * (E45 - AA45)^2</f>
        <v/>
      </c>
      <c r="AC45" s="3" t="n"/>
      <c r="AD45" s="3" t="n"/>
      <c r="AJ45" s="3" t="n"/>
      <c r="AK45" s="3" t="n"/>
      <c r="AL45" s="3" t="n"/>
      <c r="AM45" s="3" t="n"/>
      <c r="AN45" s="3" t="n"/>
      <c r="AT45" s="3" t="n"/>
      <c r="AU45" s="3" t="n"/>
      <c r="AV45" s="3" t="n"/>
      <c r="AW45" s="3" t="n"/>
      <c r="AX45" s="3" t="n"/>
      <c r="AY45" s="3" t="n"/>
    </row>
    <row r="46">
      <c r="A46" s="3" t="inlineStr">
        <is>
          <t>Doduo</t>
        </is>
      </c>
      <c r="B46" s="3" t="inlineStr">
        <is>
          <t>shiny rare</t>
        </is>
      </c>
      <c r="C46" s="3" t="n">
        <v>472</v>
      </c>
      <c r="D46" s="3" t="n">
        <v>3.13</v>
      </c>
      <c r="E46" s="3" t="inlineStr"/>
      <c r="F46" s="3">
        <f>IF(B46="common", 4, IF(B46="uncommon", 3, IF(B46="rare", 0.73878,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>
        <f>E46 *1.88541666666666</f>
        <v/>
      </c>
      <c r="AB46" s="3">
        <f>1.88541666666666 * (E46 - AA46)^2</f>
        <v/>
      </c>
      <c r="AC46" s="3" t="n"/>
      <c r="AD46" s="3" t="n"/>
      <c r="AJ46" s="3" t="n"/>
      <c r="AK46" s="3" t="n"/>
      <c r="AL46" s="3" t="n"/>
      <c r="AM46" s="3" t="n"/>
      <c r="AN46" s="3" t="n"/>
      <c r="AT46" s="3" t="n"/>
      <c r="AU46" s="3" t="n"/>
      <c r="AV46" s="3" t="n"/>
      <c r="AW46" s="3" t="n"/>
      <c r="AX46" s="3" t="n"/>
      <c r="AY46" s="3" t="n"/>
    </row>
    <row r="47">
      <c r="A47" s="3" t="inlineStr">
        <is>
          <t>Dolliv</t>
        </is>
      </c>
      <c r="B47" s="3" t="inlineStr">
        <is>
          <t>shiny rare</t>
        </is>
      </c>
      <c r="C47" s="3" t="n">
        <v>472</v>
      </c>
      <c r="D47" s="3" t="n">
        <v>2.4</v>
      </c>
      <c r="E47" s="3" t="inlineStr"/>
      <c r="F47" s="3">
        <f>IF(B47="common", 4, IF(B47="uncommon", 3, IF(B47="rare", 0.73878,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>
        <f>E47 *1.88541666666666</f>
        <v/>
      </c>
      <c r="AB47" s="3">
        <f>1.88541666666666 * (E47 - AA47)^2</f>
        <v/>
      </c>
      <c r="AC47" s="3" t="n"/>
      <c r="AD47" s="3" t="n"/>
      <c r="AJ47" s="3" t="n"/>
      <c r="AK47" s="3" t="n"/>
      <c r="AL47" s="3" t="n"/>
      <c r="AM47" s="3" t="n"/>
      <c r="AN47" s="3" t="n"/>
      <c r="AT47" s="3" t="n"/>
      <c r="AU47" s="3" t="n"/>
      <c r="AV47" s="3" t="n"/>
      <c r="AW47" s="3" t="n"/>
      <c r="AX47" s="3" t="n"/>
      <c r="AY47" s="3" t="n"/>
    </row>
    <row r="48">
      <c r="A48" s="3" t="inlineStr">
        <is>
          <t>Dondozo</t>
        </is>
      </c>
      <c r="B48" s="3" t="inlineStr">
        <is>
          <t>shiny rare</t>
        </is>
      </c>
      <c r="C48" s="3" t="n">
        <v>472</v>
      </c>
      <c r="D48" s="3" t="n">
        <v>2.48</v>
      </c>
      <c r="E48" s="3" t="inlineStr"/>
      <c r="F48" s="3">
        <f>IF(B48="common", 4, IF(B48="uncommon", 3, IF(B48="rare", 0.73878,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>
        <f>E48 *1.88541666666666</f>
        <v/>
      </c>
      <c r="AB48" s="3">
        <f>1.88541666666666 * (E48 - AA48)^2</f>
        <v/>
      </c>
      <c r="AC48" s="3" t="n"/>
      <c r="AD48" s="3" t="n"/>
      <c r="AJ48" s="3" t="n"/>
      <c r="AK48" s="3" t="n"/>
      <c r="AL48" s="3" t="n"/>
      <c r="AM48" s="3" t="n"/>
      <c r="AN48" s="3" t="n"/>
      <c r="AT48" s="3" t="n"/>
      <c r="AU48" s="3" t="n"/>
      <c r="AV48" s="3" t="n"/>
      <c r="AW48" s="3" t="n"/>
      <c r="AX48" s="3" t="n"/>
      <c r="AY48" s="3" t="n"/>
    </row>
    <row r="49">
      <c r="A49" s="3" t="inlineStr">
        <is>
          <t>Donphan</t>
        </is>
      </c>
      <c r="B49" s="3" t="inlineStr">
        <is>
          <t>uncommon</t>
        </is>
      </c>
      <c r="C49" s="3" t="n">
        <v>25</v>
      </c>
      <c r="D49" s="3" t="n">
        <v>0.02</v>
      </c>
      <c r="E49" s="3" t="n">
        <v>0.13</v>
      </c>
      <c r="F49" s="3">
        <f>IF(B49="common", 4, IF(B49="uncommon", 3, IF(B49="rare", 0.73878,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>
        <f>E49 *1.88541666666666</f>
        <v/>
      </c>
      <c r="AB49" s="3">
        <f>1.88541666666666 * (E49 - AA49)^2</f>
        <v/>
      </c>
      <c r="AC49" s="3" t="n"/>
      <c r="AD49" s="3" t="n"/>
      <c r="AJ49" s="3" t="n"/>
      <c r="AK49" s="3" t="n"/>
      <c r="AL49" s="3" t="n"/>
      <c r="AM49" s="3" t="n"/>
      <c r="AN49" s="3" t="n"/>
      <c r="AT49" s="3" t="n"/>
      <c r="AU49" s="3" t="n"/>
      <c r="AV49" s="3" t="n"/>
      <c r="AW49" s="3" t="n"/>
      <c r="AX49" s="3" t="n"/>
      <c r="AY49" s="3" t="n"/>
    </row>
    <row r="50">
      <c r="A50" s="3" t="inlineStr">
        <is>
          <t>Drifblim</t>
        </is>
      </c>
      <c r="B50" s="3" t="inlineStr">
        <is>
          <t>shiny rare</t>
        </is>
      </c>
      <c r="C50" s="3" t="n">
        <v>472</v>
      </c>
      <c r="D50" s="3" t="n">
        <v>2.13</v>
      </c>
      <c r="E50" s="3" t="inlineStr"/>
      <c r="F50" s="3">
        <f>IF(B50="common", 4, IF(B50="uncommon", 3, IF(B50="rare", 0.73878,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>
        <f>E50 *1.88541666666666</f>
        <v/>
      </c>
      <c r="AB50" s="3">
        <f>1.88541666666666 * (E50 - AA50)^2</f>
        <v/>
      </c>
      <c r="AC50" s="3" t="n"/>
      <c r="AD50" s="3" t="n"/>
      <c r="AJ50" s="3" t="n"/>
      <c r="AK50" s="3" t="n"/>
      <c r="AL50" s="3" t="n"/>
      <c r="AM50" s="3" t="n"/>
      <c r="AN50" s="3" t="n"/>
      <c r="AT50" s="3" t="n"/>
      <c r="AU50" s="3" t="n"/>
      <c r="AV50" s="3" t="n"/>
      <c r="AW50" s="3" t="n"/>
      <c r="AX50" s="3" t="n"/>
      <c r="AY50" s="3" t="n"/>
    </row>
    <row r="51">
      <c r="A51" s="3" t="inlineStr">
        <is>
          <t>Drifloon</t>
        </is>
      </c>
      <c r="B51" s="3" t="inlineStr">
        <is>
          <t>shiny rare</t>
        </is>
      </c>
      <c r="C51" s="3" t="n">
        <v>472</v>
      </c>
      <c r="D51" s="3" t="n">
        <v>5.85</v>
      </c>
      <c r="E51" s="3" t="inlineStr"/>
      <c r="F51" s="3">
        <f>IF(B51="common", 4, IF(B51="uncommon", 3, IF(B51="rare", 0.73878,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>
        <f>E51 *1.88541666666666</f>
        <v/>
      </c>
      <c r="AB51" s="3">
        <f>1.88541666666666 * (E51 - AA51)^2</f>
        <v/>
      </c>
      <c r="AC51" s="3" t="n"/>
      <c r="AD51" s="3" t="n"/>
      <c r="AJ51" s="3" t="n"/>
      <c r="AK51" s="3" t="n"/>
      <c r="AL51" s="3" t="n"/>
      <c r="AM51" s="3" t="n"/>
      <c r="AN51" s="3" t="n"/>
      <c r="AT51" s="3" t="n"/>
      <c r="AU51" s="3" t="n"/>
      <c r="AV51" s="3" t="n"/>
      <c r="AW51" s="3" t="n"/>
      <c r="AX51" s="3" t="n"/>
      <c r="AY51" s="3" t="n"/>
    </row>
    <row r="52">
      <c r="A52" s="3" t="inlineStr">
        <is>
          <t>Electric Generator</t>
        </is>
      </c>
      <c r="B52" s="3" t="inlineStr">
        <is>
          <t>uncommon</t>
        </is>
      </c>
      <c r="C52" s="3" t="n">
        <v>25</v>
      </c>
      <c r="D52" s="3" t="n">
        <v>0.06</v>
      </c>
      <c r="E52" s="3" t="n">
        <v>0.25</v>
      </c>
      <c r="F52" s="3">
        <f>IF(B52="common", 4, IF(B52="uncommon", 3, IF(B52="rare", 0.73878,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>
        <f>E52 *1.88541666666666</f>
        <v/>
      </c>
      <c r="AB52" s="3">
        <f>1.88541666666666 * (E52 - AA52)^2</f>
        <v/>
      </c>
      <c r="AC52" s="3" t="n"/>
      <c r="AD52" s="3" t="n"/>
      <c r="AJ52" s="3" t="n"/>
      <c r="AK52" s="3" t="n"/>
      <c r="AL52" s="3" t="n"/>
      <c r="AM52" s="3" t="n"/>
      <c r="AN52" s="3" t="n"/>
      <c r="AT52" s="3" t="n"/>
      <c r="AU52" s="3" t="n"/>
      <c r="AV52" s="3" t="n"/>
      <c r="AW52" s="3" t="n"/>
      <c r="AX52" s="3" t="n"/>
      <c r="AY52" s="3" t="n"/>
    </row>
    <row r="53">
      <c r="A53" s="3" t="inlineStr">
        <is>
          <t>Electrode</t>
        </is>
      </c>
      <c r="B53" s="3" t="inlineStr">
        <is>
          <t>shiny rare</t>
        </is>
      </c>
      <c r="C53" s="3" t="n">
        <v>472</v>
      </c>
      <c r="D53" s="3" t="n">
        <v>2.92</v>
      </c>
      <c r="E53" s="3" t="inlineStr"/>
      <c r="F53" s="3">
        <f>IF(B53="common", 4, IF(B53="uncommon", 3, IF(B53="rare", 0.73878,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>
        <f>E53 *1.88541666666666</f>
        <v/>
      </c>
      <c r="AB53" s="3">
        <f>1.88541666666666 * (E53 - AA53)^2</f>
        <v/>
      </c>
      <c r="AC53" s="3" t="n"/>
      <c r="AD53" s="3" t="n"/>
      <c r="AJ53" s="3" t="n"/>
      <c r="AK53" s="3" t="n"/>
      <c r="AL53" s="3" t="n"/>
      <c r="AM53" s="3" t="n"/>
      <c r="AN53" s="3" t="n"/>
      <c r="AT53" s="3" t="n"/>
      <c r="AU53" s="3" t="n"/>
      <c r="AV53" s="3" t="n"/>
      <c r="AW53" s="3" t="n"/>
      <c r="AX53" s="3" t="n"/>
      <c r="AY53" s="3" t="n"/>
    </row>
    <row r="54">
      <c r="A54" s="3" t="inlineStr">
        <is>
          <t>Entei</t>
        </is>
      </c>
      <c r="B54" s="3" t="inlineStr">
        <is>
          <t>shiny rare</t>
        </is>
      </c>
      <c r="C54" s="3" t="n">
        <v>472</v>
      </c>
      <c r="D54" s="3" t="n">
        <v>9.119999999999999</v>
      </c>
      <c r="E54" s="3" t="inlineStr"/>
      <c r="F54" s="3">
        <f>IF(B54="common", 4, IF(B54="uncommon", 3, IF(B54="rare", 0.73878,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>
        <f>E54 *1.88541666666666</f>
        <v/>
      </c>
      <c r="AB54" s="3">
        <f>1.88541666666666 * (E54 - AA54)^2</f>
        <v/>
      </c>
      <c r="AC54" s="3" t="n"/>
      <c r="AD54" s="3" t="n"/>
      <c r="AJ54" s="3" t="n"/>
      <c r="AK54" s="3" t="n"/>
      <c r="AL54" s="3" t="n"/>
      <c r="AM54" s="3" t="n"/>
      <c r="AN54" s="3" t="n"/>
      <c r="AT54" s="3" t="n"/>
      <c r="AU54" s="3" t="n"/>
      <c r="AV54" s="3" t="n"/>
      <c r="AW54" s="3" t="n"/>
      <c r="AX54" s="3" t="n"/>
      <c r="AY54" s="3" t="n"/>
    </row>
    <row r="55">
      <c r="A55" s="3" t="inlineStr">
        <is>
          <t>Espathra ex - 006/091</t>
        </is>
      </c>
      <c r="B55" s="3" t="inlineStr">
        <is>
          <t>double rare</t>
        </is>
      </c>
      <c r="C55" s="3" t="n">
        <v>63</v>
      </c>
      <c r="D55" s="3" t="n">
        <v>0.51</v>
      </c>
      <c r="E55" s="3" t="inlineStr"/>
      <c r="F55" s="3">
        <f>IF(B55="common", 4, IF(B55="uncommon", 3, IF(B55="rare", 0.73878,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>
        <f>E55 *1.88541666666666</f>
        <v/>
      </c>
      <c r="AB55" s="3">
        <f>1.88541666666666 * (E55 - AA55)^2</f>
        <v/>
      </c>
      <c r="AC55" s="3" t="n"/>
      <c r="AD55" s="3" t="n"/>
      <c r="AJ55" s="3" t="n"/>
      <c r="AK55" s="3" t="n"/>
      <c r="AL55" s="3" t="n"/>
      <c r="AM55" s="3" t="n"/>
      <c r="AN55" s="3" t="n"/>
      <c r="AT55" s="3" t="n"/>
      <c r="AU55" s="3" t="n"/>
      <c r="AV55" s="3" t="n"/>
      <c r="AW55" s="3" t="n"/>
      <c r="AX55" s="3" t="n"/>
      <c r="AY55" s="3" t="n"/>
    </row>
    <row r="56">
      <c r="A56" s="3" t="inlineStr">
        <is>
          <t>Espathra ex - 214/091</t>
        </is>
      </c>
      <c r="B56" s="3" t="inlineStr">
        <is>
          <t>shiny ultra rare</t>
        </is>
      </c>
      <c r="C56" s="3" t="n">
        <v>155</v>
      </c>
      <c r="D56" s="3" t="n">
        <v>1.13</v>
      </c>
      <c r="E56" s="3" t="inlineStr"/>
      <c r="F56" s="3">
        <f>IF(B56="common", 4, IF(B56="uncommon", 3, IF(B56="rare", 0.73878,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>
        <f>E56 *1.88541666666666</f>
        <v/>
      </c>
      <c r="AB56" s="3">
        <f>1.88541666666666 * (E56 - AA56)^2</f>
        <v/>
      </c>
      <c r="AC56" s="3" t="n"/>
      <c r="AD56" s="3" t="n"/>
      <c r="AJ56" s="3" t="n"/>
      <c r="AK56" s="3" t="n"/>
      <c r="AL56" s="3" t="n"/>
      <c r="AM56" s="3" t="n"/>
      <c r="AN56" s="3" t="n"/>
      <c r="AT56" s="3" t="n"/>
      <c r="AU56" s="3" t="n"/>
      <c r="AV56" s="3" t="n"/>
      <c r="AW56" s="3" t="n"/>
      <c r="AX56" s="3" t="n"/>
      <c r="AY56" s="3" t="n"/>
    </row>
    <row r="57">
      <c r="A57" s="3" t="inlineStr">
        <is>
          <t>Exeggcute</t>
        </is>
      </c>
      <c r="B57" s="3" t="inlineStr">
        <is>
          <t>common</t>
        </is>
      </c>
      <c r="C57" s="3" t="n">
        <v>40</v>
      </c>
      <c r="D57" s="3" t="n">
        <v>0.05</v>
      </c>
      <c r="E57" s="3" t="n">
        <v>0.15</v>
      </c>
      <c r="F57" s="3">
        <f>IF(B57="common", 4, IF(B57="uncommon", 3, IF(B57="rare", 0.73878,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>
        <f>E57 *1.88541666666666</f>
        <v/>
      </c>
      <c r="AB57" s="3">
        <f>1.88541666666666 * (E57 - AA57)^2</f>
        <v/>
      </c>
      <c r="AC57" s="3" t="n"/>
      <c r="AD57" s="3" t="n"/>
      <c r="AJ57" s="3" t="n"/>
      <c r="AK57" s="3" t="n"/>
      <c r="AL57" s="3" t="n"/>
      <c r="AM57" s="3" t="n"/>
      <c r="AN57" s="3" t="n"/>
      <c r="AT57" s="3" t="n"/>
      <c r="AU57" s="3" t="n"/>
      <c r="AV57" s="3" t="n"/>
      <c r="AW57" s="3" t="n"/>
      <c r="AX57" s="3" t="n"/>
      <c r="AY57" s="3" t="n"/>
    </row>
    <row r="58">
      <c r="A58" s="3" t="inlineStr">
        <is>
          <t>Exeggutor</t>
        </is>
      </c>
      <c r="B58" s="3" t="inlineStr">
        <is>
          <t>rare</t>
        </is>
      </c>
      <c r="C58" s="3" t="n">
        <v>16</v>
      </c>
      <c r="D58" s="3" t="n">
        <v>0.11</v>
      </c>
      <c r="E58" s="3" t="n">
        <v>0.14</v>
      </c>
      <c r="F58" s="3">
        <f>IF(B58="common", 4, IF(B58="uncommon", 3, IF(B58="rare", 0.73878,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>
        <f>E58 *1.88541666666666</f>
        <v/>
      </c>
      <c r="AB58" s="3">
        <f>1.88541666666666 * (E58 - AA58)^2</f>
        <v/>
      </c>
      <c r="AC58" s="3" t="n"/>
      <c r="AD58" s="3" t="n"/>
      <c r="AJ58" s="3" t="n"/>
      <c r="AK58" s="3" t="n"/>
      <c r="AL58" s="3" t="n"/>
      <c r="AM58" s="3" t="n"/>
      <c r="AN58" s="3" t="n"/>
      <c r="AT58" s="3" t="n"/>
      <c r="AU58" s="3" t="n"/>
      <c r="AV58" s="3" t="n"/>
      <c r="AW58" s="3" t="n"/>
      <c r="AX58" s="3" t="n"/>
      <c r="AY58" s="3" t="n"/>
    </row>
    <row r="59">
      <c r="A59" s="3" t="inlineStr">
        <is>
          <t>Fidough</t>
        </is>
      </c>
      <c r="B59" s="3" t="inlineStr">
        <is>
          <t>common</t>
        </is>
      </c>
      <c r="C59" s="3" t="n">
        <v>40</v>
      </c>
      <c r="D59" s="3" t="n">
        <v>0.09</v>
      </c>
      <c r="E59" s="3" t="n">
        <v>0.13</v>
      </c>
      <c r="F59" s="3">
        <f>IF(B59="common", 4, IF(B59="uncommon", 3, IF(B59="rare", 0.73878,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>
        <f>E59 *1.88541666666666</f>
        <v/>
      </c>
      <c r="AB59" s="3">
        <f>1.88541666666666 * (E59 - AA59)^2</f>
        <v/>
      </c>
      <c r="AC59" s="3" t="n"/>
      <c r="AD59" s="3" t="n"/>
      <c r="AJ59" s="3" t="n"/>
      <c r="AK59" s="3" t="n"/>
      <c r="AL59" s="3" t="n"/>
      <c r="AM59" s="3" t="n"/>
      <c r="AN59" s="3" t="n"/>
      <c r="AT59" s="3" t="n"/>
      <c r="AU59" s="3" t="n"/>
      <c r="AV59" s="3" t="n"/>
      <c r="AW59" s="3" t="n"/>
      <c r="AX59" s="3" t="n"/>
      <c r="AY59" s="3" t="n"/>
    </row>
    <row r="60">
      <c r="A60" s="3" t="inlineStr">
        <is>
          <t>Finizen</t>
        </is>
      </c>
      <c r="B60" s="3" t="inlineStr">
        <is>
          <t>shiny rare</t>
        </is>
      </c>
      <c r="C60" s="3" t="n">
        <v>472</v>
      </c>
      <c r="D60" s="3" t="n">
        <v>3.71</v>
      </c>
      <c r="E60" s="3" t="inlineStr"/>
      <c r="F60" s="3">
        <f>IF(B60="common", 4, IF(B60="uncommon", 3, IF(B60="rare", 0.73878,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>
        <f>E60 *1.88541666666666</f>
        <v/>
      </c>
      <c r="AB60" s="3">
        <f>1.88541666666666 * (E60 - AA60)^2</f>
        <v/>
      </c>
      <c r="AC60" s="3" t="n"/>
      <c r="AD60" s="3" t="n"/>
      <c r="AJ60" s="3" t="n"/>
      <c r="AK60" s="3" t="n"/>
      <c r="AL60" s="3" t="n"/>
      <c r="AM60" s="3" t="n"/>
      <c r="AN60" s="3" t="n"/>
      <c r="AT60" s="3" t="n"/>
      <c r="AU60" s="3" t="n"/>
      <c r="AV60" s="3" t="n"/>
      <c r="AW60" s="3" t="n"/>
      <c r="AX60" s="3" t="n"/>
      <c r="AY60" s="3" t="n"/>
    </row>
    <row r="61">
      <c r="A61" s="3" t="inlineStr">
        <is>
          <t>Flamigo</t>
        </is>
      </c>
      <c r="B61" s="3" t="inlineStr">
        <is>
          <t>shiny rare</t>
        </is>
      </c>
      <c r="C61" s="3" t="n">
        <v>472</v>
      </c>
      <c r="D61" s="3" t="n">
        <v>2.97</v>
      </c>
      <c r="E61" s="3" t="inlineStr"/>
      <c r="F61" s="3">
        <f>IF(B61="common", 4, IF(B61="uncommon", 3, IF(B61="rare", 0.73878,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>
        <f>E61 *1.88541666666666</f>
        <v/>
      </c>
      <c r="AB61" s="3">
        <f>1.88541666666666 * (E61 - AA61)^2</f>
        <v/>
      </c>
      <c r="AC61" s="3" t="n"/>
      <c r="AD61" s="3" t="n"/>
      <c r="AJ61" s="3" t="n"/>
      <c r="AK61" s="3" t="n"/>
      <c r="AL61" s="3" t="n"/>
      <c r="AM61" s="3" t="n"/>
      <c r="AN61" s="3" t="n"/>
      <c r="AT61" s="3" t="n"/>
      <c r="AU61" s="3" t="n"/>
      <c r="AV61" s="3" t="n"/>
      <c r="AW61" s="3" t="n"/>
      <c r="AX61" s="3" t="n"/>
      <c r="AY61" s="3" t="n"/>
    </row>
    <row r="62">
      <c r="A62" s="3" t="inlineStr">
        <is>
          <t>Flittle - 041/091</t>
        </is>
      </c>
      <c r="B62" s="3" t="inlineStr">
        <is>
          <t>common</t>
        </is>
      </c>
      <c r="C62" s="3" t="n">
        <v>40</v>
      </c>
      <c r="D62" s="3" t="n">
        <v>0.04</v>
      </c>
      <c r="E62" s="3" t="n">
        <v>0.11</v>
      </c>
      <c r="F62" s="3">
        <f>IF(B62="common", 4, IF(B62="uncommon", 3, IF(B62="rare", 0.73878,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>
        <f>E62 *1.88541666666666</f>
        <v/>
      </c>
      <c r="AB62" s="3">
        <f>1.88541666666666 * (E62 - AA62)^2</f>
        <v/>
      </c>
      <c r="AC62" s="3" t="n"/>
      <c r="AD62" s="3" t="n"/>
      <c r="AJ62" s="3" t="n"/>
      <c r="AK62" s="3" t="n"/>
      <c r="AL62" s="3" t="n"/>
      <c r="AM62" s="3" t="n"/>
      <c r="AN62" s="3" t="n"/>
      <c r="AT62" s="3" t="n"/>
      <c r="AU62" s="3" t="n"/>
      <c r="AV62" s="3" t="n"/>
      <c r="AW62" s="3" t="n"/>
      <c r="AX62" s="3" t="n"/>
      <c r="AY62" s="3" t="n"/>
    </row>
    <row r="63">
      <c r="A63" s="3" t="inlineStr">
        <is>
          <t>Flittle - 164/091</t>
        </is>
      </c>
      <c r="B63" s="3" t="inlineStr">
        <is>
          <t>shiny rare</t>
        </is>
      </c>
      <c r="C63" s="3" t="n">
        <v>472</v>
      </c>
      <c r="D63" s="3" t="n">
        <v>1.63</v>
      </c>
      <c r="E63" s="3" t="inlineStr"/>
      <c r="F63" s="3">
        <f>IF(B63="common", 4, IF(B63="uncommon", 3, IF(B63="rare", 0.73878,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>
        <f>E63 *1.88541666666666</f>
        <v/>
      </c>
      <c r="AB63" s="3">
        <f>1.88541666666666 * (E63 - AA63)^2</f>
        <v/>
      </c>
      <c r="AC63" s="3" t="n"/>
      <c r="AD63" s="3" t="n"/>
      <c r="AJ63" s="3" t="n"/>
      <c r="AK63" s="3" t="n"/>
      <c r="AL63" s="3" t="n"/>
      <c r="AM63" s="3" t="n"/>
      <c r="AN63" s="3" t="n"/>
      <c r="AT63" s="3" t="n"/>
      <c r="AU63" s="3" t="n"/>
      <c r="AV63" s="3" t="n"/>
      <c r="AW63" s="3" t="n"/>
      <c r="AX63" s="3" t="n"/>
      <c r="AY63" s="3" t="n"/>
    </row>
    <row r="64">
      <c r="A64" s="3" t="inlineStr">
        <is>
          <t>Forretress ex - 002/091</t>
        </is>
      </c>
      <c r="B64" s="3" t="inlineStr">
        <is>
          <t>double rare</t>
        </is>
      </c>
      <c r="C64" s="3" t="n">
        <v>63</v>
      </c>
      <c r="D64" s="3" t="n">
        <v>0.51</v>
      </c>
      <c r="E64" s="3" t="inlineStr"/>
      <c r="F64" s="3">
        <f>IF(B64="common", 4, IF(B64="uncommon", 3, IF(B64="rare", 0.73878,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>
        <f>E64 *1.88541666666666</f>
        <v/>
      </c>
      <c r="AB64" s="3">
        <f>1.88541666666666 * (E64 - AA64)^2</f>
        <v/>
      </c>
      <c r="AC64" s="3" t="n"/>
      <c r="AD64" s="3" t="n"/>
      <c r="AJ64" s="3" t="n"/>
      <c r="AK64" s="3" t="n"/>
      <c r="AL64" s="3" t="n"/>
      <c r="AM64" s="3" t="n"/>
      <c r="AN64" s="3" t="n"/>
      <c r="AT64" s="3" t="n"/>
      <c r="AU64" s="3" t="n"/>
      <c r="AV64" s="3" t="n"/>
      <c r="AW64" s="3" t="n"/>
      <c r="AX64" s="3" t="n"/>
      <c r="AY64" s="3" t="n"/>
    </row>
    <row r="65">
      <c r="A65" s="3" t="inlineStr">
        <is>
          <t>Forretress ex - 212/091</t>
        </is>
      </c>
      <c r="B65" s="3" t="inlineStr">
        <is>
          <t>shiny ultra rare</t>
        </is>
      </c>
      <c r="C65" s="3" t="n">
        <v>155</v>
      </c>
      <c r="D65" s="3" t="n">
        <v>0.86</v>
      </c>
      <c r="E65" s="3" t="inlineStr"/>
      <c r="F65" s="3">
        <f>IF(B65="common", 4, IF(B65="uncommon", 3, IF(B65="rare", 0.73878,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>
        <f>E65 *1.88541666666666</f>
        <v/>
      </c>
      <c r="AB65" s="3">
        <f>1.88541666666666 * (E65 - AA65)^2</f>
        <v/>
      </c>
      <c r="AC65" s="3" t="n"/>
      <c r="AD65" s="3" t="n"/>
      <c r="AJ65" s="3" t="n"/>
      <c r="AK65" s="3" t="n"/>
      <c r="AL65" s="3" t="n"/>
      <c r="AM65" s="3" t="n"/>
      <c r="AN65" s="3" t="n"/>
      <c r="AT65" s="3" t="n"/>
      <c r="AU65" s="3" t="n"/>
      <c r="AV65" s="3" t="n"/>
      <c r="AW65" s="3" t="n"/>
      <c r="AX65" s="3" t="n"/>
      <c r="AY65" s="3" t="n"/>
    </row>
    <row r="66">
      <c r="A66" s="3" t="inlineStr">
        <is>
          <t>Frigibax - 017/091</t>
        </is>
      </c>
      <c r="B66" s="3" t="inlineStr">
        <is>
          <t>common</t>
        </is>
      </c>
      <c r="C66" s="3" t="n">
        <v>40</v>
      </c>
      <c r="D66" s="3" t="n">
        <v>0.06</v>
      </c>
      <c r="E66" s="3" t="n">
        <v>0.15</v>
      </c>
      <c r="F66" s="3">
        <f>IF(B66="common", 4, IF(B66="uncommon", 3, IF(B66="rare", 0.73878,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>
        <f>E66 *1.88541666666666</f>
        <v/>
      </c>
      <c r="AB66" s="3">
        <f>1.88541666666666 * (E66 - AA66)^2</f>
        <v/>
      </c>
      <c r="AC66" s="3" t="n"/>
      <c r="AD66" s="3" t="n"/>
      <c r="AJ66" s="3" t="n"/>
      <c r="AK66" s="3" t="n"/>
      <c r="AL66" s="3" t="n"/>
      <c r="AM66" s="3" t="n"/>
      <c r="AN66" s="3" t="n"/>
      <c r="AT66" s="3" t="n"/>
      <c r="AU66" s="3" t="n"/>
      <c r="AV66" s="3" t="n"/>
      <c r="AW66" s="3" t="n"/>
      <c r="AX66" s="3" t="n"/>
      <c r="AY66" s="3" t="n"/>
    </row>
    <row r="67">
      <c r="A67" s="3" t="inlineStr">
        <is>
          <t>Frigibax - 128/091</t>
        </is>
      </c>
      <c r="B67" s="3" t="inlineStr">
        <is>
          <t>shiny rare</t>
        </is>
      </c>
      <c r="C67" s="3" t="n">
        <v>472</v>
      </c>
      <c r="D67" s="3" t="n">
        <v>2.97</v>
      </c>
      <c r="E67" s="3" t="inlineStr"/>
      <c r="F67" s="3">
        <f>IF(B67="common", 4, IF(B67="uncommon", 3, IF(B67="rare", 0.73878,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>
        <f>E67 *1.88541666666666</f>
        <v/>
      </c>
      <c r="AB67" s="3">
        <f>1.88541666666666 * (E67  -  AA67)^2</f>
        <v/>
      </c>
      <c r="AC67" s="3" t="n"/>
      <c r="AD67" s="3" t="n"/>
      <c r="AJ67" s="3" t="n"/>
      <c r="AK67" s="3" t="n"/>
      <c r="AL67" s="3" t="n"/>
      <c r="AM67" s="3" t="n"/>
      <c r="AN67" s="3" t="n"/>
      <c r="AT67" s="3" t="n"/>
      <c r="AU67" s="3" t="n"/>
      <c r="AV67" s="3" t="n"/>
      <c r="AW67" s="3" t="n"/>
      <c r="AX67" s="3" t="n"/>
      <c r="AY67" s="3" t="n"/>
    </row>
    <row r="68">
      <c r="A68" s="3" t="inlineStr">
        <is>
          <t>Gardevoir ex - 029/091</t>
        </is>
      </c>
      <c r="B68" s="3" t="inlineStr">
        <is>
          <t>double rare</t>
        </is>
      </c>
      <c r="C68" s="3" t="n">
        <v>63</v>
      </c>
      <c r="D68" s="3" t="n">
        <v>0.86</v>
      </c>
      <c r="E68" s="3" t="inlineStr"/>
      <c r="F68" s="3">
        <f>IF(B68="common", 4, IF(B68="uncommon", 3, IF(B68="rare", 0.73878,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>
        <f>E68 *1.88541666666666</f>
        <v/>
      </c>
      <c r="AB68" s="3">
        <f>1.88541666666666 * (E68 - AA68)^2</f>
        <v/>
      </c>
      <c r="AC68" s="3" t="n"/>
      <c r="AD68" s="3" t="n"/>
      <c r="AJ68" s="3" t="n"/>
      <c r="AK68" s="3" t="n"/>
      <c r="AL68" s="3" t="n"/>
      <c r="AM68" s="3" t="n"/>
      <c r="AN68" s="3" t="n"/>
      <c r="AT68" s="3" t="n"/>
      <c r="AU68" s="3" t="n"/>
      <c r="AV68" s="3" t="n"/>
      <c r="AW68" s="3" t="n"/>
      <c r="AX68" s="3" t="n"/>
      <c r="AY68" s="3" t="n"/>
    </row>
    <row r="69">
      <c r="A69" s="3" t="inlineStr">
        <is>
          <t>Gardevoir ex - 217/091</t>
        </is>
      </c>
      <c r="B69" s="3" t="inlineStr">
        <is>
          <t>shiny ultra rare</t>
        </is>
      </c>
      <c r="C69" s="3" t="n">
        <v>155</v>
      </c>
      <c r="D69" s="3" t="n">
        <v>5.88</v>
      </c>
      <c r="E69" s="3" t="inlineStr"/>
      <c r="F69" s="3">
        <f>IF(B69="common", 4, IF(B69="uncommon", 3, IF(B69="rare", 0.73878,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>
        <f>E69 *1.88541666666666</f>
        <v/>
      </c>
      <c r="AB69" s="3">
        <f>1.88541666666666 * (E69 - AA69)^2</f>
        <v/>
      </c>
      <c r="AC69" s="3" t="n"/>
      <c r="AD69" s="3" t="n"/>
      <c r="AJ69" s="3" t="n"/>
      <c r="AK69" s="3" t="n"/>
      <c r="AL69" s="3" t="n"/>
      <c r="AM69" s="3" t="n"/>
      <c r="AN69" s="3" t="n"/>
      <c r="AT69" s="3" t="n"/>
      <c r="AU69" s="3" t="n"/>
      <c r="AV69" s="3" t="n"/>
      <c r="AW69" s="3" t="n"/>
      <c r="AX69" s="3" t="n"/>
      <c r="AY69" s="3" t="n"/>
    </row>
    <row r="70">
      <c r="A70" s="3" t="inlineStr">
        <is>
          <t>Gardevoir ex - 233/091</t>
        </is>
      </c>
      <c r="B70" s="3" t="inlineStr">
        <is>
          <t>special illustration rare</t>
        </is>
      </c>
      <c r="C70" s="3" t="n">
        <v>465</v>
      </c>
      <c r="D70" s="3" t="n">
        <v>125.23</v>
      </c>
      <c r="E70" s="3" t="inlineStr"/>
      <c r="F70" s="3">
        <f>IF(B70="common", 4, IF(B70="uncommon", 3, IF(B70="rare", 0.73878,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>
        <f>E70 *1.88541666666666</f>
        <v/>
      </c>
      <c r="AB70" s="3">
        <f>1.88541666666666 * (E70 - AA70)^2</f>
        <v/>
      </c>
      <c r="AC70" s="3" t="n"/>
      <c r="AD70" s="3" t="n"/>
      <c r="AJ70" s="3" t="n"/>
      <c r="AK70" s="3" t="n"/>
      <c r="AL70" s="3" t="n"/>
      <c r="AM70" s="3" t="n"/>
      <c r="AN70" s="3" t="n"/>
      <c r="AT70" s="3" t="n"/>
      <c r="AU70" s="3" t="n"/>
      <c r="AV70" s="3" t="n"/>
      <c r="AW70" s="3" t="n"/>
      <c r="AX70" s="3" t="n"/>
      <c r="AY70" s="3" t="n"/>
    </row>
    <row r="71">
      <c r="A71" s="3" t="inlineStr">
        <is>
          <t>Garganacl</t>
        </is>
      </c>
      <c r="B71" s="3" t="inlineStr">
        <is>
          <t>shiny rare</t>
        </is>
      </c>
      <c r="C71" s="3" t="n">
        <v>472</v>
      </c>
      <c r="D71" s="3" t="n">
        <v>1.8</v>
      </c>
      <c r="E71" s="3" t="inlineStr"/>
      <c r="F71" s="3">
        <f>IF(B71="common", 4, IF(B71="uncommon", 3, IF(B71="rare", 0.73878,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>
        <f>E71 *1.88541666666666</f>
        <v/>
      </c>
      <c r="AB71" s="3">
        <f>1.88541666666666 * (E71 - AA71)^2</f>
        <v/>
      </c>
      <c r="AC71" s="3" t="n"/>
      <c r="AD71" s="3" t="n"/>
      <c r="AJ71" s="3" t="n"/>
      <c r="AK71" s="3" t="n"/>
      <c r="AL71" s="3" t="n"/>
      <c r="AM71" s="3" t="n"/>
      <c r="AN71" s="3" t="n"/>
      <c r="AT71" s="3" t="n"/>
      <c r="AU71" s="3" t="n"/>
      <c r="AV71" s="3" t="n"/>
      <c r="AW71" s="3" t="n"/>
      <c r="AX71" s="3" t="n"/>
      <c r="AY71" s="3" t="n"/>
    </row>
    <row r="72">
      <c r="A72" s="3" t="inlineStr">
        <is>
          <t>Gastly</t>
        </is>
      </c>
      <c r="B72" s="3" t="inlineStr">
        <is>
          <t>common</t>
        </is>
      </c>
      <c r="C72" s="3" t="n">
        <v>40</v>
      </c>
      <c r="D72" s="3" t="n">
        <v>0.07000000000000001</v>
      </c>
      <c r="E72" s="3" t="n">
        <v>0.15</v>
      </c>
      <c r="F72" s="3">
        <f>IF(B72="common", 4, IF(B72="uncommon", 3, IF(B72="rare", 0.73878,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>
        <f>E72 *1.88541666666666</f>
        <v/>
      </c>
      <c r="AB72" s="3">
        <f>1.88541666666666 * (E72 - AA72)^2</f>
        <v/>
      </c>
      <c r="AC72" s="3" t="n"/>
      <c r="AD72" s="3" t="n"/>
      <c r="AJ72" s="3" t="n"/>
      <c r="AK72" s="3" t="n"/>
      <c r="AL72" s="3" t="n"/>
      <c r="AM72" s="3" t="n"/>
      <c r="AN72" s="3" t="n"/>
      <c r="AT72" s="3" t="n"/>
      <c r="AU72" s="3" t="n"/>
      <c r="AV72" s="3" t="n"/>
      <c r="AW72" s="3" t="n"/>
      <c r="AX72" s="3" t="n"/>
      <c r="AY72" s="3" t="n"/>
    </row>
    <row r="73">
      <c r="A73" s="3" t="inlineStr">
        <is>
          <t>Gengar</t>
        </is>
      </c>
      <c r="B73" s="3" t="inlineStr">
        <is>
          <t>uncommon</t>
        </is>
      </c>
      <c r="C73" s="3" t="n">
        <v>25</v>
      </c>
      <c r="D73" s="3" t="n">
        <v>0.16</v>
      </c>
      <c r="E73" s="3" t="n">
        <v>0.52</v>
      </c>
      <c r="F73" s="3">
        <f>IF(B73="common", 4, IF(B73="uncommon", 3, IF(B73="rare", 0.73878,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>
        <f>E73 *1.88541666666666</f>
        <v/>
      </c>
      <c r="AB73" s="3">
        <f>1.88541666666666 * (E73 - AA73)^2</f>
        <v/>
      </c>
      <c r="AC73" s="3" t="n"/>
      <c r="AD73" s="3" t="n"/>
      <c r="AJ73" s="3" t="n"/>
      <c r="AK73" s="3" t="n"/>
      <c r="AL73" s="3" t="n"/>
      <c r="AM73" s="3" t="n"/>
      <c r="AN73" s="3" t="n"/>
      <c r="AT73" s="3" t="n"/>
      <c r="AU73" s="3" t="n"/>
      <c r="AV73" s="3" t="n"/>
      <c r="AW73" s="3" t="n"/>
      <c r="AX73" s="3" t="n"/>
      <c r="AY73" s="3" t="n"/>
    </row>
    <row r="74">
      <c r="A74" s="3" t="inlineStr">
        <is>
          <t>Gholdengo</t>
        </is>
      </c>
      <c r="B74" s="3" t="inlineStr">
        <is>
          <t>rare</t>
        </is>
      </c>
      <c r="C74" s="3" t="n">
        <v>16</v>
      </c>
      <c r="D74" s="3" t="n">
        <v>0.1</v>
      </c>
      <c r="E74" s="3" t="n">
        <v>0.15</v>
      </c>
      <c r="F74" s="3">
        <f>IF(B74="common", 4, IF(B74="uncommon", 3, IF(B74="rare", 0.73878,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>
        <f>E74 *1.88541666666666</f>
        <v/>
      </c>
      <c r="AB74" s="3">
        <f>1.88541666666666 * (E74 - AA74)^2</f>
        <v/>
      </c>
      <c r="AC74" s="3" t="n"/>
      <c r="AD74" s="3" t="n"/>
      <c r="AJ74" s="3" t="n"/>
      <c r="AK74" s="3" t="n"/>
      <c r="AL74" s="3" t="n"/>
      <c r="AM74" s="3" t="n"/>
      <c r="AN74" s="3" t="n"/>
      <c r="AT74" s="3" t="n"/>
      <c r="AU74" s="3" t="n"/>
      <c r="AV74" s="3" t="n"/>
      <c r="AW74" s="3" t="n"/>
      <c r="AX74" s="3" t="n"/>
      <c r="AY74" s="3" t="n"/>
    </row>
    <row r="75">
      <c r="A75" s="3" t="inlineStr">
        <is>
          <t>Gimmighoul</t>
        </is>
      </c>
      <c r="B75" s="3" t="inlineStr">
        <is>
          <t>common</t>
        </is>
      </c>
      <c r="C75" s="3" t="n">
        <v>40</v>
      </c>
      <c r="D75" s="3" t="n">
        <v>0.03</v>
      </c>
      <c r="E75" s="3" t="n">
        <v>0.11</v>
      </c>
      <c r="F75" s="3">
        <f>IF(B75="common", 4, IF(B75="uncommon", 3, IF(B75="rare", 0.73878,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>
        <f>E75 *1.88541666666666</f>
        <v/>
      </c>
      <c r="AB75" s="3">
        <f>1.88541666666666 * (E75 - AA75)^2</f>
        <v/>
      </c>
      <c r="AC75" s="3" t="n"/>
      <c r="AD75" s="3" t="n"/>
      <c r="AJ75" s="3" t="n"/>
      <c r="AK75" s="3" t="n"/>
      <c r="AL75" s="3" t="n"/>
      <c r="AM75" s="3" t="n"/>
      <c r="AN75" s="3" t="n"/>
      <c r="AT75" s="3" t="n"/>
      <c r="AU75" s="3" t="n"/>
      <c r="AV75" s="3" t="n"/>
      <c r="AW75" s="3" t="n"/>
      <c r="AX75" s="3" t="n"/>
      <c r="AY75" s="3" t="n"/>
    </row>
    <row r="76">
      <c r="A76" s="3" t="inlineStr">
        <is>
          <t>Glimmet</t>
        </is>
      </c>
      <c r="B76" s="3" t="inlineStr">
        <is>
          <t>shiny rare</t>
        </is>
      </c>
      <c r="C76" s="3" t="n">
        <v>472</v>
      </c>
      <c r="D76" s="3" t="n">
        <v>1.92</v>
      </c>
      <c r="E76" s="3" t="inlineStr"/>
      <c r="F76" s="3">
        <f>IF(B76="common", 4, IF(B76="uncommon", 3, IF(B76="rare", 0.73878,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>
        <f>E76 *1.88541666666666</f>
        <v/>
      </c>
      <c r="AB76" s="3">
        <f>1.88541666666666 * (E76 - AA76)^2</f>
        <v/>
      </c>
      <c r="AC76" s="3" t="n"/>
      <c r="AD76" s="3" t="n"/>
      <c r="AJ76" s="3" t="n"/>
      <c r="AK76" s="3" t="n"/>
      <c r="AL76" s="3" t="n"/>
      <c r="AM76" s="3" t="n"/>
      <c r="AN76" s="3" t="n"/>
      <c r="AT76" s="3" t="n"/>
      <c r="AU76" s="3" t="n"/>
      <c r="AV76" s="3" t="n"/>
      <c r="AW76" s="3" t="n"/>
      <c r="AX76" s="3" t="n"/>
      <c r="AY76" s="3" t="n"/>
    </row>
    <row r="77">
      <c r="A77" s="3" t="inlineStr">
        <is>
          <t>Glimmora ex</t>
        </is>
      </c>
      <c r="B77" s="3" t="inlineStr">
        <is>
          <t>shiny ultra rare</t>
        </is>
      </c>
      <c r="C77" s="3" t="n">
        <v>155</v>
      </c>
      <c r="D77" s="3" t="n">
        <v>0.92</v>
      </c>
      <c r="E77" s="3" t="inlineStr"/>
      <c r="F77" s="3">
        <f>IF(B77="common", 4, IF(B77="uncommon", 3, IF(B77="rare", 0.73878,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>
        <f>E77 *1.88541666666666</f>
        <v/>
      </c>
      <c r="AB77" s="3">
        <f>1.88541666666666 * (E77 - AA77)^2</f>
        <v/>
      </c>
      <c r="AC77" s="3" t="n"/>
      <c r="AD77" s="3" t="n"/>
      <c r="AJ77" s="3" t="n"/>
      <c r="AK77" s="3" t="n"/>
      <c r="AL77" s="3" t="n"/>
      <c r="AM77" s="3" t="n"/>
      <c r="AN77" s="3" t="n"/>
      <c r="AT77" s="3" t="n"/>
      <c r="AU77" s="3" t="n"/>
      <c r="AV77" s="3" t="n"/>
      <c r="AW77" s="3" t="n"/>
      <c r="AX77" s="3" t="n"/>
      <c r="AY77" s="3" t="n"/>
    </row>
    <row r="78">
      <c r="A78" s="3" t="inlineStr">
        <is>
          <t>Gloom</t>
        </is>
      </c>
      <c r="B78" s="3" t="inlineStr">
        <is>
          <t>shiny rare</t>
        </is>
      </c>
      <c r="C78" s="3" t="n">
        <v>472</v>
      </c>
      <c r="D78" s="3" t="n">
        <v>3.47</v>
      </c>
      <c r="E78" s="3" t="inlineStr"/>
      <c r="F78" s="3">
        <f>IF(B78="common", 4, IF(B78="uncommon", 3, IF(B78="rare", 0.73878,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>
        <f>E78 *1.88541666666666</f>
        <v/>
      </c>
      <c r="AB78" s="3">
        <f>1.88541666666666 * (E78 - AA78)^2</f>
        <v/>
      </c>
      <c r="AC78" s="3" t="n"/>
      <c r="AD78" s="3" t="n"/>
      <c r="AJ78" s="3" t="n"/>
      <c r="AK78" s="3" t="n"/>
      <c r="AL78" s="3" t="n"/>
      <c r="AM78" s="3" t="n"/>
      <c r="AN78" s="3" t="n"/>
      <c r="AT78" s="3" t="n"/>
      <c r="AU78" s="3" t="n"/>
      <c r="AV78" s="3" t="n"/>
      <c r="AW78" s="3" t="n"/>
      <c r="AX78" s="3" t="n"/>
      <c r="AY78" s="3" t="n"/>
    </row>
    <row r="79">
      <c r="A79" s="3" t="inlineStr">
        <is>
          <t>Grafaiai</t>
        </is>
      </c>
      <c r="B79" s="3" t="inlineStr">
        <is>
          <t>shiny rare</t>
        </is>
      </c>
      <c r="C79" s="3" t="n">
        <v>472</v>
      </c>
      <c r="D79" s="3" t="n">
        <v>1.67</v>
      </c>
      <c r="E79" s="3" t="inlineStr"/>
      <c r="F79" s="3">
        <f>IF(B79="common", 4, IF(B79="uncommon", 3, IF(B79="rare", 0.73878,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>
        <f>E79 *1.88541666666666</f>
        <v/>
      </c>
      <c r="AB79" s="3">
        <f>1.88541666666666 * (E79 - AA79)^2</f>
        <v/>
      </c>
      <c r="AC79" s="3" t="n"/>
      <c r="AD79" s="3" t="n"/>
      <c r="AJ79" s="3" t="n"/>
      <c r="AK79" s="3" t="n"/>
      <c r="AL79" s="3" t="n"/>
      <c r="AM79" s="3" t="n"/>
      <c r="AN79" s="3" t="n"/>
      <c r="AT79" s="3" t="n"/>
      <c r="AU79" s="3" t="n"/>
      <c r="AV79" s="3" t="n"/>
      <c r="AW79" s="3" t="n"/>
      <c r="AX79" s="3" t="n"/>
      <c r="AY79" s="3" t="n"/>
    </row>
    <row r="80">
      <c r="A80" s="3" t="inlineStr">
        <is>
          <t>Grapploct</t>
        </is>
      </c>
      <c r="B80" s="3" t="inlineStr">
        <is>
          <t>uncommon</t>
        </is>
      </c>
      <c r="C80" s="3" t="n">
        <v>25</v>
      </c>
      <c r="D80" s="3" t="n">
        <v>0.06</v>
      </c>
      <c r="E80" s="3" t="n">
        <v>0.12</v>
      </c>
      <c r="F80" s="3">
        <f>IF(B80="common", 4, IF(B80="uncommon", 3, IF(B80="rare", 0.73878,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>
        <f>E80 *1.88541666666666</f>
        <v/>
      </c>
      <c r="AB80" s="3">
        <f>1.88541666666666 * (E80 - AA80)^2</f>
        <v/>
      </c>
      <c r="AC80" s="3" t="n"/>
      <c r="AD80" s="3" t="n"/>
      <c r="AJ80" s="3" t="n"/>
      <c r="AK80" s="3" t="n"/>
      <c r="AL80" s="3" t="n"/>
      <c r="AM80" s="3" t="n"/>
      <c r="AN80" s="3" t="n"/>
      <c r="AT80" s="3" t="n"/>
      <c r="AU80" s="3" t="n"/>
      <c r="AV80" s="3" t="n"/>
      <c r="AW80" s="3" t="n"/>
      <c r="AX80" s="3" t="n"/>
      <c r="AY80" s="3" t="n"/>
    </row>
    <row r="81">
      <c r="A81" s="3" t="inlineStr">
        <is>
          <t>Great Tusk ex</t>
        </is>
      </c>
      <c r="B81" s="3" t="inlineStr">
        <is>
          <t>double rare</t>
        </is>
      </c>
      <c r="C81" s="3" t="n">
        <v>63</v>
      </c>
      <c r="D81" s="3" t="n">
        <v>0.61</v>
      </c>
      <c r="E81" s="3" t="inlineStr"/>
      <c r="F81" s="3">
        <f>IF(B81="common", 4, IF(B81="uncommon", 3, IF(B81="rare", 0.73878,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>
        <f>E81 *1.88541666666666</f>
        <v/>
      </c>
      <c r="AB81" s="3">
        <f>1.88541666666666 * (E81 - AA81)^2</f>
        <v/>
      </c>
      <c r="AC81" s="3" t="n"/>
      <c r="AD81" s="3" t="n"/>
      <c r="AJ81" s="3" t="n"/>
      <c r="AK81" s="3" t="n"/>
      <c r="AL81" s="3" t="n"/>
      <c r="AM81" s="3" t="n"/>
      <c r="AN81" s="3" t="n"/>
      <c r="AT81" s="3" t="n"/>
      <c r="AU81" s="3" t="n"/>
      <c r="AV81" s="3" t="n"/>
      <c r="AW81" s="3" t="n"/>
      <c r="AX81" s="3" t="n"/>
      <c r="AY81" s="3" t="n"/>
    </row>
    <row r="82">
      <c r="A82" s="3" t="inlineStr">
        <is>
          <t>Greavard</t>
        </is>
      </c>
      <c r="B82" s="3" t="inlineStr">
        <is>
          <t>common</t>
        </is>
      </c>
      <c r="C82" s="3" t="n">
        <v>40</v>
      </c>
      <c r="D82" s="3" t="n">
        <v>0.03</v>
      </c>
      <c r="E82" s="3" t="n">
        <v>0.1</v>
      </c>
      <c r="F82" s="3">
        <f>IF(B82="common", 4, IF(B82="uncommon", 3, IF(B82="rare", 0.73878,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>
        <f>E82 *1.88541666666666</f>
        <v/>
      </c>
      <c r="AB82" s="3">
        <f>1.88541666666666 * (E82 - AA82)^2</f>
        <v/>
      </c>
      <c r="AC82" s="3" t="n"/>
      <c r="AD82" s="3" t="n"/>
      <c r="AJ82" s="3" t="n"/>
      <c r="AK82" s="3" t="n"/>
      <c r="AL82" s="3" t="n"/>
      <c r="AM82" s="3" t="n"/>
      <c r="AN82" s="3" t="n"/>
      <c r="AT82" s="3" t="n"/>
      <c r="AU82" s="3" t="n"/>
      <c r="AV82" s="3" t="n"/>
      <c r="AW82" s="3" t="n"/>
      <c r="AX82" s="3" t="n"/>
      <c r="AY82" s="3" t="n"/>
    </row>
    <row r="83">
      <c r="A83" s="3" t="inlineStr">
        <is>
          <t>Greedent</t>
        </is>
      </c>
      <c r="B83" s="3" t="inlineStr">
        <is>
          <t>shiny rare</t>
        </is>
      </c>
      <c r="C83" s="3" t="n">
        <v>472</v>
      </c>
      <c r="D83" s="3" t="n">
        <v>1.71</v>
      </c>
      <c r="E83" s="3" t="inlineStr"/>
      <c r="F83" s="3">
        <f>IF(B83="common", 4, IF(B83="uncommon", 3, IF(B83="rare", 0.73878,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>
        <f>E83 *1.88541666666666</f>
        <v/>
      </c>
      <c r="AB83" s="3">
        <f>1.88541666666666 * (E83 - AA83)^2</f>
        <v/>
      </c>
      <c r="AC83" s="3" t="n"/>
      <c r="AD83" s="3" t="n"/>
      <c r="AJ83" s="3" t="n"/>
      <c r="AK83" s="3" t="n"/>
      <c r="AL83" s="3" t="n"/>
      <c r="AM83" s="3" t="n"/>
      <c r="AN83" s="3" t="n"/>
      <c r="AT83" s="3" t="n"/>
      <c r="AU83" s="3" t="n"/>
      <c r="AV83" s="3" t="n"/>
      <c r="AW83" s="3" t="n"/>
      <c r="AX83" s="3" t="n"/>
      <c r="AY83" s="3" t="n"/>
    </row>
    <row r="84">
      <c r="A84" s="3" t="inlineStr">
        <is>
          <t>Haunter</t>
        </is>
      </c>
      <c r="B84" s="3" t="inlineStr">
        <is>
          <t>common</t>
        </is>
      </c>
      <c r="C84" s="3" t="n">
        <v>40</v>
      </c>
      <c r="D84" s="3" t="n">
        <v>0.11</v>
      </c>
      <c r="E84" s="3" t="n">
        <v>0.21</v>
      </c>
      <c r="F84" s="3">
        <f>IF(B84="common", 4, IF(B84="uncommon", 3, IF(B84="rare", 0.73878,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>
        <f>E84 *1.88541666666666</f>
        <v/>
      </c>
      <c r="AB84" s="3">
        <f>1.88541666666666 * (E84 - AA84)^2</f>
        <v/>
      </c>
      <c r="AC84" s="3" t="n"/>
      <c r="AD84" s="3" t="n"/>
      <c r="AJ84" s="3" t="n"/>
      <c r="AK84" s="3" t="n"/>
      <c r="AL84" s="3" t="n"/>
      <c r="AM84" s="3" t="n"/>
      <c r="AN84" s="3" t="n"/>
      <c r="AT84" s="3" t="n"/>
      <c r="AU84" s="3" t="n"/>
      <c r="AV84" s="3" t="n"/>
      <c r="AW84" s="3" t="n"/>
      <c r="AX84" s="3" t="n"/>
      <c r="AY84" s="3" t="n"/>
    </row>
    <row r="85">
      <c r="A85" s="3" t="inlineStr">
        <is>
          <t>Hawlucha</t>
        </is>
      </c>
      <c r="B85" s="3" t="inlineStr">
        <is>
          <t>shiny rare</t>
        </is>
      </c>
      <c r="C85" s="3" t="n">
        <v>472</v>
      </c>
      <c r="D85" s="3" t="n">
        <v>8.19</v>
      </c>
      <c r="E85" s="3" t="inlineStr"/>
      <c r="F85" s="3">
        <f>IF(B85="common", 4, IF(B85="uncommon", 3, IF(B85="rare", 0.73878,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>
        <f>E85 *1.88541666666666</f>
        <v/>
      </c>
      <c r="AB85" s="3">
        <f>1.88541666666666 * (E85 - AA85)^2</f>
        <v/>
      </c>
      <c r="AC85" s="3" t="n"/>
      <c r="AD85" s="3" t="n"/>
      <c r="AJ85" s="3" t="n"/>
      <c r="AK85" s="3" t="n"/>
      <c r="AL85" s="3" t="n"/>
      <c r="AM85" s="3" t="n"/>
      <c r="AN85" s="3" t="n"/>
      <c r="AT85" s="3" t="n"/>
      <c r="AU85" s="3" t="n"/>
      <c r="AV85" s="3" t="n"/>
      <c r="AW85" s="3" t="n"/>
      <c r="AX85" s="3" t="n"/>
      <c r="AY85" s="3" t="n"/>
    </row>
    <row r="86">
      <c r="A86" s="3" t="inlineStr">
        <is>
          <t>Heat Rotom</t>
        </is>
      </c>
      <c r="B86" s="3" t="inlineStr">
        <is>
          <t>rare</t>
        </is>
      </c>
      <c r="C86" s="3" t="n">
        <v>16</v>
      </c>
      <c r="D86" s="3" t="n">
        <v>0.21</v>
      </c>
      <c r="E86" s="3" t="n">
        <v>0.17</v>
      </c>
      <c r="F86" s="3">
        <f>IF(B86="common", 4, IF(B86="uncommon", 3, IF(B86="rare", 0.73878,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>
        <f>E86 *1.88541666666666</f>
        <v/>
      </c>
      <c r="AB86" s="3">
        <f>1.88541666666666 * (E86 - AA86)^2</f>
        <v/>
      </c>
      <c r="AC86" s="3" t="n"/>
      <c r="AD86" s="3" t="n"/>
      <c r="AJ86" s="3" t="n"/>
      <c r="AK86" s="3" t="n"/>
      <c r="AL86" s="3" t="n"/>
      <c r="AM86" s="3" t="n"/>
      <c r="AN86" s="3" t="n"/>
      <c r="AT86" s="3" t="n"/>
      <c r="AU86" s="3" t="n"/>
      <c r="AV86" s="3" t="n"/>
      <c r="AW86" s="3" t="n"/>
      <c r="AX86" s="3" t="n"/>
      <c r="AY86" s="3" t="n"/>
    </row>
    <row r="87">
      <c r="A87" s="3" t="inlineStr">
        <is>
          <t>Hoppip</t>
        </is>
      </c>
      <c r="B87" s="3" t="inlineStr">
        <is>
          <t>shiny rare</t>
        </is>
      </c>
      <c r="C87" s="3" t="n">
        <v>472</v>
      </c>
      <c r="D87" s="3" t="n">
        <v>2.35</v>
      </c>
      <c r="E87" s="3" t="inlineStr"/>
      <c r="F87" s="3">
        <f>IF(B87="common", 4, IF(B87="uncommon", 3, IF(B87="rare", 0.73878,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>
        <f>E87 *1.88541666666666</f>
        <v/>
      </c>
      <c r="AB87" s="3">
        <f>1.88541666666666 * (E87 - AA87)^2</f>
        <v/>
      </c>
      <c r="AC87" s="3" t="n"/>
      <c r="AD87" s="3" t="n"/>
      <c r="AJ87" s="3" t="n"/>
      <c r="AK87" s="3" t="n"/>
      <c r="AL87" s="3" t="n"/>
      <c r="AM87" s="3" t="n"/>
      <c r="AN87" s="3" t="n"/>
      <c r="AT87" s="3" t="n"/>
      <c r="AU87" s="3" t="n"/>
      <c r="AV87" s="3" t="n"/>
      <c r="AW87" s="3" t="n"/>
      <c r="AX87" s="3" t="n"/>
      <c r="AY87" s="3" t="n"/>
    </row>
    <row r="88">
      <c r="A88" s="3" t="inlineStr">
        <is>
          <t>Houndstone - 043/091</t>
        </is>
      </c>
      <c r="B88" s="3" t="inlineStr">
        <is>
          <t>rare</t>
        </is>
      </c>
      <c r="C88" s="3" t="n">
        <v>16</v>
      </c>
      <c r="D88" s="3" t="n">
        <v>0.09</v>
      </c>
      <c r="E88" s="3" t="n">
        <v>0.13</v>
      </c>
      <c r="F88" s="3">
        <f>IF(B88="common", 4, IF(B88="uncommon", 3, IF(B88="rare", 0.73878,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>
        <f>E88 *1.88541666666666</f>
        <v/>
      </c>
      <c r="AB88" s="3">
        <f>1.88541666666666 * (E88 - AA88)^2</f>
        <v/>
      </c>
      <c r="AC88" s="3" t="n"/>
      <c r="AD88" s="3" t="n"/>
      <c r="AJ88" s="3" t="n"/>
      <c r="AK88" s="3" t="n"/>
      <c r="AL88" s="3" t="n"/>
      <c r="AM88" s="3" t="n"/>
      <c r="AN88" s="3" t="n"/>
      <c r="AT88" s="3" t="n"/>
      <c r="AU88" s="3" t="n"/>
      <c r="AV88" s="3" t="n"/>
      <c r="AW88" s="3" t="n"/>
      <c r="AX88" s="3" t="n"/>
      <c r="AY88" s="3" t="n"/>
    </row>
    <row r="89">
      <c r="A89" s="3" t="inlineStr">
        <is>
          <t>Houndstone - 168/091</t>
        </is>
      </c>
      <c r="B89" s="3" t="inlineStr">
        <is>
          <t>shiny rare</t>
        </is>
      </c>
      <c r="C89" s="3" t="n">
        <v>472</v>
      </c>
      <c r="D89" s="3" t="n">
        <v>1.51</v>
      </c>
      <c r="E89" s="3" t="inlineStr"/>
      <c r="F89" s="3">
        <f>IF(B89="common", 4, IF(B89="uncommon", 3, IF(B89="rare", 0.73878,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>
        <f>E89 *1.88541666666666</f>
        <v/>
      </c>
      <c r="AB89" s="3">
        <f>1.88541666666666 * (E89 - AA89)^2</f>
        <v/>
      </c>
      <c r="AC89" s="3" t="n"/>
      <c r="AD89" s="3" t="n"/>
      <c r="AJ89" s="3" t="n"/>
      <c r="AK89" s="3" t="n"/>
      <c r="AL89" s="3" t="n"/>
      <c r="AM89" s="3" t="n"/>
      <c r="AN89" s="3" t="n"/>
      <c r="AT89" s="3" t="n"/>
      <c r="AU89" s="3" t="n"/>
      <c r="AV89" s="3" t="n"/>
      <c r="AW89" s="3" t="n"/>
      <c r="AX89" s="3" t="n"/>
      <c r="AY89" s="3" t="n"/>
    </row>
    <row r="90">
      <c r="A90" s="3" t="inlineStr">
        <is>
          <t>Iono - 080/091</t>
        </is>
      </c>
      <c r="B90" s="3" t="inlineStr">
        <is>
          <t>uncommon</t>
        </is>
      </c>
      <c r="C90" s="3" t="n">
        <v>25</v>
      </c>
      <c r="D90" s="3" t="n">
        <v>0.21</v>
      </c>
      <c r="E90" s="3" t="n">
        <v>0.74</v>
      </c>
      <c r="F90" s="3">
        <f>IF(B90="common", 4, IF(B90="uncommon", 3, IF(B90="rare", 0.73878,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>
        <f>E90 *1.88541666666666</f>
        <v/>
      </c>
      <c r="AB90" s="3">
        <f>1.88541666666666 * (E90 - AA90)^2</f>
        <v/>
      </c>
      <c r="AC90" s="3" t="n"/>
      <c r="AD90" s="3" t="n"/>
      <c r="AJ90" s="3" t="n"/>
      <c r="AK90" s="3" t="n"/>
      <c r="AL90" s="3" t="n"/>
      <c r="AM90" s="3" t="n"/>
      <c r="AN90" s="3" t="n"/>
      <c r="AT90" s="3" t="n"/>
      <c r="AU90" s="3" t="n"/>
      <c r="AV90" s="3" t="n"/>
      <c r="AW90" s="3" t="n"/>
      <c r="AX90" s="3" t="n"/>
      <c r="AY90" s="3" t="n"/>
    </row>
    <row r="91">
      <c r="A91" s="3" t="inlineStr">
        <is>
          <t>Iono - 237/091</t>
        </is>
      </c>
      <c r="B91" s="3" t="inlineStr">
        <is>
          <t>special illustration rare</t>
        </is>
      </c>
      <c r="C91" s="3" t="n">
        <v>465</v>
      </c>
      <c r="D91" s="3" t="n">
        <v>26.59</v>
      </c>
      <c r="E91" s="3" t="inlineStr"/>
      <c r="F91" s="3">
        <f>IF(B91="common", 4, IF(B91="uncommon", 3, IF(B91="rare", 0.73878,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>
        <f>E91 *1.88541666666666</f>
        <v/>
      </c>
      <c r="AB91" s="3">
        <f>1.88541666666666 * (E91 - AA91)^2</f>
        <v/>
      </c>
      <c r="AC91" s="3" t="n"/>
      <c r="AD91" s="3" t="n"/>
      <c r="AJ91" s="3" t="n"/>
      <c r="AK91" s="3" t="n"/>
      <c r="AL91" s="3" t="n"/>
      <c r="AM91" s="3" t="n"/>
      <c r="AN91" s="3" t="n"/>
      <c r="AT91" s="3" t="n"/>
      <c r="AU91" s="3" t="n"/>
      <c r="AV91" s="3" t="n"/>
      <c r="AW91" s="3" t="n"/>
      <c r="AX91" s="3" t="n"/>
      <c r="AY91" s="3" t="n"/>
    </row>
    <row r="92">
      <c r="A92" s="3" t="inlineStr">
        <is>
          <t>Iron Treads ex</t>
        </is>
      </c>
      <c r="B92" s="3" t="inlineStr">
        <is>
          <t>double rare</t>
        </is>
      </c>
      <c r="C92" s="3" t="n">
        <v>63</v>
      </c>
      <c r="D92" s="3" t="n">
        <v>0.62</v>
      </c>
      <c r="E92" s="3" t="inlineStr"/>
      <c r="F92" s="3">
        <f>IF(B92="common", 4, IF(B92="uncommon", 3, IF(B92="rare", 0.73878,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>
        <f>E92 *1.88541666666666</f>
        <v/>
      </c>
      <c r="AB92" s="3">
        <f>1.88541666666666 * (E92 - AA92)^2</f>
        <v/>
      </c>
      <c r="AC92" s="3" t="n"/>
      <c r="AD92" s="3" t="n"/>
      <c r="AJ92" s="3" t="n"/>
      <c r="AK92" s="3" t="n"/>
      <c r="AL92" s="3" t="n"/>
      <c r="AM92" s="3" t="n"/>
      <c r="AN92" s="3" t="n"/>
      <c r="AT92" s="3" t="n"/>
      <c r="AU92" s="3" t="n"/>
      <c r="AV92" s="3" t="n"/>
      <c r="AW92" s="3" t="n"/>
      <c r="AX92" s="3" t="n"/>
      <c r="AY92" s="3" t="n"/>
    </row>
    <row r="93">
      <c r="A93" s="3" t="inlineStr">
        <is>
          <t>Jigglypuff</t>
        </is>
      </c>
      <c r="B93" s="3" t="inlineStr">
        <is>
          <t>shiny rare</t>
        </is>
      </c>
      <c r="C93" s="3" t="n">
        <v>472</v>
      </c>
      <c r="D93" s="3" t="n">
        <v>6.6</v>
      </c>
      <c r="E93" s="3" t="inlineStr"/>
      <c r="F93" s="3">
        <f>IF(B93="common", 4, IF(B93="uncommon", 3, IF(B93="rare", 0.73878,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>
        <f>E93 *1.88541666666666</f>
        <v/>
      </c>
      <c r="AB93" s="3">
        <f>1.88541666666666 * (E93 - AA93)^2</f>
        <v/>
      </c>
      <c r="AC93" s="3" t="n"/>
      <c r="AD93" s="3" t="n"/>
      <c r="AJ93" s="3" t="n"/>
      <c r="AK93" s="3" t="n"/>
      <c r="AL93" s="3" t="n"/>
      <c r="AM93" s="3" t="n"/>
      <c r="AN93" s="3" t="n"/>
      <c r="AT93" s="3" t="n"/>
      <c r="AU93" s="3" t="n"/>
      <c r="AV93" s="3" t="n"/>
      <c r="AW93" s="3" t="n"/>
      <c r="AX93" s="3" t="n"/>
      <c r="AY93" s="3" t="n"/>
    </row>
    <row r="94">
      <c r="A94" s="3" t="inlineStr">
        <is>
          <t>Judge</t>
        </is>
      </c>
      <c r="B94" s="3" t="inlineStr">
        <is>
          <t>ultra rare</t>
        </is>
      </c>
      <c r="C94" s="3" t="n">
        <v>76</v>
      </c>
      <c r="D94" s="3" t="n">
        <v>0.6</v>
      </c>
      <c r="E94" s="3" t="inlineStr"/>
      <c r="F94" s="3">
        <f>IF(B94="common", 4, IF(B94="uncommon", 3, IF(B94="rare", 0.73878,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>
        <f>E94 *1.88541666666666</f>
        <v/>
      </c>
      <c r="AB94" s="3">
        <f>1.88541666666666 * (E94 - AA94)^2</f>
        <v/>
      </c>
      <c r="AC94" s="3" t="n"/>
      <c r="AD94" s="3" t="n"/>
      <c r="AJ94" s="3" t="n"/>
      <c r="AK94" s="3" t="n"/>
      <c r="AL94" s="3" t="n"/>
      <c r="AM94" s="3" t="n"/>
      <c r="AN94" s="3" t="n"/>
      <c r="AT94" s="3" t="n"/>
      <c r="AU94" s="3" t="n"/>
      <c r="AV94" s="3" t="n"/>
      <c r="AW94" s="3" t="n"/>
      <c r="AX94" s="3" t="n"/>
      <c r="AY94" s="3" t="n"/>
    </row>
    <row r="95">
      <c r="A95" s="3" t="inlineStr">
        <is>
          <t>Jumpluff</t>
        </is>
      </c>
      <c r="B95" s="3" t="inlineStr">
        <is>
          <t>shiny rare</t>
        </is>
      </c>
      <c r="C95" s="3" t="n">
        <v>472</v>
      </c>
      <c r="D95" s="3" t="n">
        <v>2.61</v>
      </c>
      <c r="E95" s="3" t="inlineStr"/>
      <c r="F95" s="3">
        <f>IF(B95="common", 4, IF(B95="uncommon", 3, IF(B95="rare", 0.73878,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>
        <f>E95 *1.88541666666666</f>
        <v/>
      </c>
      <c r="AB95" s="3">
        <f>1.88541666666666 * (E95 - AA95)^2</f>
        <v/>
      </c>
      <c r="AC95" s="3" t="n"/>
      <c r="AD95" s="3" t="n"/>
      <c r="AJ95" s="3" t="n"/>
      <c r="AK95" s="3" t="n"/>
      <c r="AL95" s="3" t="n"/>
      <c r="AM95" s="3" t="n"/>
      <c r="AN95" s="3" t="n"/>
      <c r="AT95" s="3" t="n"/>
      <c r="AU95" s="3" t="n"/>
      <c r="AV95" s="3" t="n"/>
      <c r="AW95" s="3" t="n"/>
      <c r="AX95" s="3" t="n"/>
      <c r="AY95" s="3" t="n"/>
    </row>
    <row r="96">
      <c r="A96" s="3" t="inlineStr">
        <is>
          <t>Kadabra</t>
        </is>
      </c>
      <c r="B96" s="3" t="inlineStr">
        <is>
          <t>shiny rare</t>
        </is>
      </c>
      <c r="C96" s="3" t="n">
        <v>472</v>
      </c>
      <c r="D96" s="3" t="n">
        <v>4.49</v>
      </c>
      <c r="E96" s="3" t="inlineStr"/>
      <c r="F96" s="3">
        <f>IF(B96="common", 4, IF(B96="uncommon", 3, IF(B96="rare", 0.73878,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>
        <f>E96 *1.88541666666666</f>
        <v/>
      </c>
      <c r="AB96" s="3">
        <f>1.88541666666666 * (E96 - AA96)^2</f>
        <v/>
      </c>
      <c r="AC96" s="3" t="n"/>
      <c r="AD96" s="3" t="n"/>
      <c r="AJ96" s="3" t="n"/>
      <c r="AK96" s="3" t="n"/>
      <c r="AL96" s="3" t="n"/>
      <c r="AM96" s="3" t="n"/>
      <c r="AN96" s="3" t="n"/>
      <c r="AT96" s="3" t="n"/>
      <c r="AU96" s="3" t="n"/>
      <c r="AV96" s="3" t="n"/>
      <c r="AW96" s="3" t="n"/>
      <c r="AX96" s="3" t="n"/>
      <c r="AY96" s="3" t="n"/>
    </row>
    <row r="97">
      <c r="A97" s="3" t="inlineStr">
        <is>
          <t>Kilowattrel - 022/091</t>
        </is>
      </c>
      <c r="B97" s="3" t="inlineStr">
        <is>
          <t>uncommon</t>
        </is>
      </c>
      <c r="C97" s="3" t="n">
        <v>25</v>
      </c>
      <c r="D97" s="3" t="n">
        <v>0.04</v>
      </c>
      <c r="E97" s="3" t="n">
        <v>0.14</v>
      </c>
      <c r="F97" s="3">
        <f>IF(B97="common", 4, IF(B97="uncommon", 3, IF(B97="rare", 0.73878,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>
        <f>E97 *1.88541666666666</f>
        <v/>
      </c>
      <c r="AB97" s="3">
        <f>1.88541666666666 * (E97 - AA97)^2</f>
        <v/>
      </c>
      <c r="AC97" s="3" t="n"/>
      <c r="AD97" s="3" t="n"/>
      <c r="AJ97" s="3" t="n"/>
      <c r="AK97" s="3" t="n"/>
      <c r="AL97" s="3" t="n"/>
      <c r="AM97" s="3" t="n"/>
      <c r="AN97" s="3" t="n"/>
      <c r="AT97" s="3" t="n"/>
      <c r="AU97" s="3" t="n"/>
      <c r="AV97" s="3" t="n"/>
      <c r="AW97" s="3" t="n"/>
      <c r="AX97" s="3" t="n"/>
      <c r="AY97" s="3" t="n"/>
    </row>
    <row r="98">
      <c r="A98" s="3" t="inlineStr">
        <is>
          <t>Kilowattrel - 146/091</t>
        </is>
      </c>
      <c r="B98" s="3" t="inlineStr">
        <is>
          <t>shiny rare</t>
        </is>
      </c>
      <c r="C98" s="3" t="n">
        <v>472</v>
      </c>
      <c r="D98" s="3" t="n">
        <v>1.92</v>
      </c>
      <c r="E98" s="3" t="inlineStr"/>
      <c r="F98" s="3">
        <f>IF(B98="common", 4, IF(B98="uncommon", 3, IF(B98="rare", 0.73878,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>
        <f>E98 *1.88541666666666</f>
        <v/>
      </c>
      <c r="AB98" s="3">
        <f>1.88541666666666 * (E98 - AA98)^2</f>
        <v/>
      </c>
      <c r="AC98" s="3" t="n"/>
      <c r="AD98" s="3" t="n"/>
      <c r="AJ98" s="3" t="n"/>
      <c r="AK98" s="3" t="n"/>
      <c r="AL98" s="3" t="n"/>
      <c r="AM98" s="3" t="n"/>
      <c r="AN98" s="3" t="n"/>
      <c r="AT98" s="3" t="n"/>
      <c r="AU98" s="3" t="n"/>
      <c r="AV98" s="3" t="n"/>
      <c r="AW98" s="3" t="n"/>
      <c r="AX98" s="3" t="n"/>
      <c r="AY98" s="3" t="n"/>
    </row>
    <row r="99">
      <c r="A99" s="3" t="inlineStr">
        <is>
          <t>Kingambit</t>
        </is>
      </c>
      <c r="B99" s="3" t="inlineStr">
        <is>
          <t>shiny rare</t>
        </is>
      </c>
      <c r="C99" s="3" t="n">
        <v>472</v>
      </c>
      <c r="D99" s="3" t="n">
        <v>2.89</v>
      </c>
      <c r="E99" s="3" t="inlineStr"/>
      <c r="F99" s="3">
        <f>IF(B99="common", 4, IF(B99="uncommon", 3, IF(B99="rare", 0.73878,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>
        <f>E99 *1.88541666666666</f>
        <v/>
      </c>
      <c r="AB99" s="3">
        <f>1.88541666666666 * (E99 - AA99)^2</f>
        <v/>
      </c>
      <c r="AC99" s="3" t="n"/>
      <c r="AD99" s="3" t="n"/>
      <c r="AJ99" s="3" t="n"/>
      <c r="AK99" s="3" t="n"/>
      <c r="AL99" s="3" t="n"/>
      <c r="AM99" s="3" t="n"/>
      <c r="AN99" s="3" t="n"/>
      <c r="AT99" s="3" t="n"/>
      <c r="AU99" s="3" t="n"/>
      <c r="AV99" s="3" t="n"/>
      <c r="AW99" s="3" t="n"/>
      <c r="AX99" s="3" t="n"/>
      <c r="AY99" s="3" t="n"/>
    </row>
    <row r="100">
      <c r="A100" s="3" t="inlineStr">
        <is>
          <t>Kirlia - 028/091</t>
        </is>
      </c>
      <c r="B100" s="3" t="inlineStr">
        <is>
          <t>uncommon</t>
        </is>
      </c>
      <c r="C100" s="3" t="n">
        <v>25</v>
      </c>
      <c r="D100" s="3" t="n">
        <v>0.12</v>
      </c>
      <c r="E100" s="3" t="n">
        <v>0.2</v>
      </c>
      <c r="F100" s="3">
        <f>IF(B100="common", 4, IF(B100="uncommon", 3, IF(B100="rare", 0.73878,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>
        <f>E100 *1.88541666666666</f>
        <v/>
      </c>
      <c r="AB100" s="3">
        <f>1.88541666666666 * (E100 - AA100)^2</f>
        <v/>
      </c>
      <c r="AC100" s="3" t="n"/>
      <c r="AD100" s="3" t="n"/>
      <c r="AJ100" s="3" t="n"/>
      <c r="AK100" s="3" t="n"/>
      <c r="AL100" s="3" t="n"/>
      <c r="AM100" s="3" t="n"/>
      <c r="AN100" s="3" t="n"/>
      <c r="AT100" s="3" t="n"/>
      <c r="AU100" s="3" t="n"/>
      <c r="AV100" s="3" t="n"/>
      <c r="AW100" s="3" t="n"/>
      <c r="AX100" s="3" t="n"/>
      <c r="AY100" s="3" t="n"/>
    </row>
    <row r="101">
      <c r="A101" s="3" t="inlineStr">
        <is>
          <t>Kirlia - 154/091</t>
        </is>
      </c>
      <c r="B101" s="3" t="inlineStr">
        <is>
          <t>shiny rare</t>
        </is>
      </c>
      <c r="C101" s="3" t="n">
        <v>472</v>
      </c>
      <c r="D101" s="3" t="n">
        <v>6.58</v>
      </c>
      <c r="E101" s="3" t="inlineStr"/>
      <c r="F101" s="3">
        <f>IF(B101="common", 4, IF(B101="uncommon", 3, IF(B101="rare", 0.73878,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>
        <f>E101 *1.88541666666666</f>
        <v/>
      </c>
      <c r="AB101" s="3">
        <f>1.88541666666666 * (E101 - AA101)^2</f>
        <v/>
      </c>
      <c r="AC101" s="3" t="n"/>
      <c r="AD101" s="3" t="n"/>
      <c r="AJ101" s="3" t="n"/>
      <c r="AK101" s="3" t="n"/>
      <c r="AL101" s="3" t="n"/>
      <c r="AM101" s="3" t="n"/>
      <c r="AN101" s="3" t="n"/>
      <c r="AT101" s="3" t="n"/>
      <c r="AU101" s="3" t="n"/>
      <c r="AV101" s="3" t="n"/>
      <c r="AW101" s="3" t="n"/>
      <c r="AX101" s="3" t="n"/>
      <c r="AY101" s="3" t="n"/>
    </row>
    <row r="102">
      <c r="A102" s="3" t="inlineStr">
        <is>
          <t>Klefki</t>
        </is>
      </c>
      <c r="B102" s="3" t="inlineStr">
        <is>
          <t>shiny rare</t>
        </is>
      </c>
      <c r="C102" s="3" t="n">
        <v>472</v>
      </c>
      <c r="D102" s="3" t="n">
        <v>4.45</v>
      </c>
      <c r="E102" s="3" t="inlineStr"/>
      <c r="F102" s="3">
        <f>IF(B102="common", 4, IF(B102="uncommon", 3, IF(B102="rare", 0.73878,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>
        <f>E102 *1.88541666666666</f>
        <v/>
      </c>
      <c r="AB102" s="3">
        <f>1.88541666666666 * (E102 - AA102)^2</f>
        <v/>
      </c>
      <c r="AC102" s="3" t="n"/>
      <c r="AD102" s="3" t="n"/>
      <c r="AJ102" s="3" t="n"/>
      <c r="AK102" s="3" t="n"/>
      <c r="AL102" s="3" t="n"/>
      <c r="AM102" s="3" t="n"/>
      <c r="AN102" s="3" t="n"/>
      <c r="AT102" s="3" t="n"/>
      <c r="AU102" s="3" t="n"/>
      <c r="AV102" s="3" t="n"/>
      <c r="AW102" s="3" t="n"/>
      <c r="AX102" s="3" t="n"/>
      <c r="AY102" s="3" t="n"/>
    </row>
    <row r="103">
      <c r="A103" s="3" t="inlineStr">
        <is>
          <t>Koraidon ex</t>
        </is>
      </c>
      <c r="B103" s="3" t="inlineStr">
        <is>
          <t>hyper rare</t>
        </is>
      </c>
      <c r="C103" s="3" t="n">
        <v>372</v>
      </c>
      <c r="D103" s="3" t="n">
        <v>10.07</v>
      </c>
      <c r="E103" s="3" t="inlineStr"/>
      <c r="F103" s="3">
        <f>IF(B103="common", 4, IF(B103="uncommon", 3, IF(B103="rare", 0.73878,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>
        <f>E103 *1.88541666666666</f>
        <v/>
      </c>
      <c r="AB103" s="3">
        <f>1.88541666666666 * (E103 - AA103)^2</f>
        <v/>
      </c>
      <c r="AC103" s="3" t="n"/>
      <c r="AD103" s="3" t="n"/>
      <c r="AJ103" s="3" t="n"/>
      <c r="AK103" s="3" t="n"/>
      <c r="AL103" s="3" t="n"/>
      <c r="AM103" s="3" t="n"/>
      <c r="AN103" s="3" t="n"/>
      <c r="AT103" s="3" t="n"/>
      <c r="AU103" s="3" t="n"/>
      <c r="AV103" s="3" t="n"/>
      <c r="AW103" s="3" t="n"/>
      <c r="AX103" s="3" t="n"/>
      <c r="AY103" s="3" t="n"/>
    </row>
    <row r="104">
      <c r="A104" s="3" t="inlineStr">
        <is>
          <t>Lanturn</t>
        </is>
      </c>
      <c r="B104" s="3" t="inlineStr">
        <is>
          <t>uncommon</t>
        </is>
      </c>
      <c r="C104" s="3" t="n">
        <v>25</v>
      </c>
      <c r="D104" s="3" t="n">
        <v>0.05</v>
      </c>
      <c r="E104" s="3" t="n">
        <v>0.13</v>
      </c>
      <c r="F104" s="3">
        <f>IF(B104="common", 4, IF(B104="uncommon", 3, IF(B104="rare", 0.73878,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>
        <f>E104 *1.88541666666666</f>
        <v/>
      </c>
      <c r="AB104" s="3">
        <f>1.88541666666666 * (E104 - AA104)^2</f>
        <v/>
      </c>
      <c r="AC104" s="3" t="n"/>
      <c r="AD104" s="3" t="n"/>
      <c r="AJ104" s="3" t="n"/>
      <c r="AK104" s="3" t="n"/>
      <c r="AL104" s="3" t="n"/>
      <c r="AM104" s="3" t="n"/>
      <c r="AN104" s="3" t="n"/>
      <c r="AT104" s="3" t="n"/>
      <c r="AU104" s="3" t="n"/>
      <c r="AV104" s="3" t="n"/>
      <c r="AW104" s="3" t="n"/>
      <c r="AX104" s="3" t="n"/>
      <c r="AY104" s="3" t="n"/>
    </row>
    <row r="105">
      <c r="A105" s="3" t="inlineStr">
        <is>
          <t>Lapras</t>
        </is>
      </c>
      <c r="B105" s="3" t="inlineStr">
        <is>
          <t>common</t>
        </is>
      </c>
      <c r="C105" s="3" t="n">
        <v>40</v>
      </c>
      <c r="D105" s="3" t="n">
        <v>0.06</v>
      </c>
      <c r="E105" s="3" t="n">
        <v>0.14</v>
      </c>
      <c r="F105" s="3">
        <f>IF(B105="common", 4, IF(B105="uncommon", 3, IF(B105="rare", 0.73878,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>
        <f>E105 *1.88541666666666</f>
        <v/>
      </c>
      <c r="AB105" s="3">
        <f>1.88541666666666 * (E105 - AA105)^2</f>
        <v/>
      </c>
      <c r="AC105" s="3" t="n"/>
      <c r="AD105" s="3" t="n"/>
      <c r="AJ105" s="3" t="n"/>
      <c r="AK105" s="3" t="n"/>
      <c r="AL105" s="3" t="n"/>
      <c r="AM105" s="3" t="n"/>
      <c r="AN105" s="3" t="n"/>
      <c r="AT105" s="3" t="n"/>
      <c r="AU105" s="3" t="n"/>
      <c r="AV105" s="3" t="n"/>
      <c r="AW105" s="3" t="n"/>
      <c r="AX105" s="3" t="n"/>
      <c r="AY105" s="3" t="n"/>
    </row>
    <row r="106">
      <c r="A106" s="3" t="inlineStr">
        <is>
          <t>Lechonk - 071/091</t>
        </is>
      </c>
      <c r="B106" s="3" t="inlineStr">
        <is>
          <t>common</t>
        </is>
      </c>
      <c r="C106" s="3" t="n">
        <v>40</v>
      </c>
      <c r="D106" s="3" t="n">
        <v>0.05</v>
      </c>
      <c r="E106" s="3" t="n">
        <v>0.1</v>
      </c>
      <c r="F106" s="3">
        <f>IF(B106="common", 4, IF(B106="uncommon", 3, IF(B106="rare", 0.73878,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>
        <f>E106 *1.88541666666666</f>
        <v/>
      </c>
      <c r="AB106" s="3">
        <f>1.88541666666666 * (E106 - AA106)^2</f>
        <v/>
      </c>
      <c r="AC106" s="3" t="n"/>
      <c r="AD106" s="3" t="n"/>
      <c r="AJ106" s="3" t="n"/>
      <c r="AK106" s="3" t="n"/>
      <c r="AL106" s="3" t="n"/>
      <c r="AM106" s="3" t="n"/>
      <c r="AN106" s="3" t="n"/>
      <c r="AT106" s="3" t="n"/>
      <c r="AU106" s="3" t="n"/>
      <c r="AV106" s="3" t="n"/>
      <c r="AW106" s="3" t="n"/>
      <c r="AX106" s="3" t="n"/>
      <c r="AY106" s="3" t="n"/>
    </row>
    <row r="107">
      <c r="A107" s="3" t="inlineStr">
        <is>
          <t>Lechonk - 207/091</t>
        </is>
      </c>
      <c r="B107" s="3" t="inlineStr">
        <is>
          <t>shiny rare</t>
        </is>
      </c>
      <c r="C107" s="3" t="n">
        <v>472</v>
      </c>
      <c r="D107" s="3" t="n">
        <v>4.72</v>
      </c>
      <c r="E107" s="3" t="inlineStr"/>
      <c r="F107" s="3">
        <f>IF(B107="common", 4, IF(B107="uncommon", 3, IF(B107="rare", 0.73878,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>
        <f>E107 *1.88541666666666</f>
        <v/>
      </c>
      <c r="AB107" s="3">
        <f>1.88541666666666 * (E107 - AA107)^2</f>
        <v/>
      </c>
      <c r="AC107" s="3" t="n"/>
      <c r="AD107" s="3" t="n"/>
      <c r="AJ107" s="3" t="n"/>
      <c r="AK107" s="3" t="n"/>
      <c r="AL107" s="3" t="n"/>
      <c r="AM107" s="3" t="n"/>
      <c r="AN107" s="3" t="n"/>
      <c r="AT107" s="3" t="n"/>
      <c r="AU107" s="3" t="n"/>
      <c r="AV107" s="3" t="n"/>
      <c r="AW107" s="3" t="n"/>
      <c r="AX107" s="3" t="n"/>
      <c r="AY107" s="3" t="n"/>
    </row>
    <row r="108">
      <c r="A108" s="3" t="inlineStr">
        <is>
          <t>Lucario</t>
        </is>
      </c>
      <c r="B108" s="3" t="inlineStr">
        <is>
          <t>shiny rare</t>
        </is>
      </c>
      <c r="C108" s="3" t="n">
        <v>472</v>
      </c>
      <c r="D108" s="3" t="n">
        <v>15.75</v>
      </c>
      <c r="E108" s="3" t="inlineStr"/>
      <c r="F108" s="3">
        <f>IF(B108="common", 4, IF(B108="uncommon", 3, IF(B108="rare", 0.73878,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>
        <f>E108 *1.88541666666666</f>
        <v/>
      </c>
      <c r="AB108" s="3">
        <f>1.88541666666666 * (E108 - AA108)^2</f>
        <v/>
      </c>
      <c r="AC108" s="3" t="n"/>
      <c r="AD108" s="3" t="n"/>
      <c r="AJ108" s="3" t="n"/>
      <c r="AK108" s="3" t="n"/>
      <c r="AL108" s="3" t="n"/>
      <c r="AM108" s="3" t="n"/>
      <c r="AN108" s="3" t="n"/>
      <c r="AT108" s="3" t="n"/>
      <c r="AU108" s="3" t="n"/>
      <c r="AV108" s="3" t="n"/>
      <c r="AW108" s="3" t="n"/>
      <c r="AX108" s="3" t="n"/>
      <c r="AY108" s="3" t="n"/>
    </row>
    <row r="109">
      <c r="A109" s="3" t="inlineStr">
        <is>
          <t>Luxio</t>
        </is>
      </c>
      <c r="B109" s="3" t="inlineStr">
        <is>
          <t>shiny rare</t>
        </is>
      </c>
      <c r="C109" s="3" t="n">
        <v>472</v>
      </c>
      <c r="D109" s="3" t="n">
        <v>3.9</v>
      </c>
      <c r="E109" s="3" t="inlineStr"/>
      <c r="F109" s="3">
        <f>IF(B109="common", 4, IF(B109="uncommon", 3, IF(B109="rare", 0.73878,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>
        <f>E109 *1.88541666666666</f>
        <v/>
      </c>
      <c r="AB109" s="3">
        <f>1.88541666666666 * (E109 - AA109)^2</f>
        <v/>
      </c>
      <c r="AC109" s="3" t="n"/>
      <c r="AD109" s="3" t="n"/>
      <c r="AJ109" s="3" t="n"/>
      <c r="AK109" s="3" t="n"/>
      <c r="AL109" s="3" t="n"/>
      <c r="AM109" s="3" t="n"/>
      <c r="AN109" s="3" t="n"/>
      <c r="AT109" s="3" t="n"/>
      <c r="AU109" s="3" t="n"/>
      <c r="AV109" s="3" t="n"/>
      <c r="AW109" s="3" t="n"/>
      <c r="AX109" s="3" t="n"/>
      <c r="AY109" s="3" t="n"/>
    </row>
    <row r="110">
      <c r="A110" s="3" t="inlineStr">
        <is>
          <t>Luxray</t>
        </is>
      </c>
      <c r="B110" s="3" t="inlineStr">
        <is>
          <t>shiny rare</t>
        </is>
      </c>
      <c r="C110" s="3" t="n">
        <v>472</v>
      </c>
      <c r="D110" s="3" t="n">
        <v>7.71</v>
      </c>
      <c r="E110" s="3" t="inlineStr"/>
      <c r="F110" s="3">
        <f>IF(B110="common", 4, IF(B110="uncommon", 3, IF(B110="rare", 0.73878,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>
        <f>E110 *1.88541666666666</f>
        <v/>
      </c>
      <c r="AB110" s="3">
        <f>1.88541666666666 * (E110 - AA110)^2</f>
        <v/>
      </c>
      <c r="AC110" s="3" t="n"/>
      <c r="AD110" s="3" t="n"/>
      <c r="AJ110" s="3" t="n"/>
      <c r="AK110" s="3" t="n"/>
      <c r="AL110" s="3" t="n"/>
      <c r="AM110" s="3" t="n"/>
      <c r="AN110" s="3" t="n"/>
      <c r="AT110" s="3" t="n"/>
      <c r="AU110" s="3" t="n"/>
      <c r="AV110" s="3" t="n"/>
      <c r="AW110" s="3" t="n"/>
      <c r="AX110" s="3" t="n"/>
      <c r="AY110" s="3" t="n"/>
    </row>
    <row r="111">
      <c r="A111" s="3" t="inlineStr">
        <is>
          <t>Mabosstiff - 063/091</t>
        </is>
      </c>
      <c r="B111" s="3" t="inlineStr">
        <is>
          <t>rare</t>
        </is>
      </c>
      <c r="C111" s="3" t="n">
        <v>16</v>
      </c>
      <c r="D111" s="3" t="n">
        <v>0.09</v>
      </c>
      <c r="E111" s="3" t="n">
        <v>0.16</v>
      </c>
      <c r="F111" s="3">
        <f>IF(B111="common", 4, IF(B111="uncommon", 3, IF(B111="rare", 0.73878,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>
        <f>E111 *1.88541666666666</f>
        <v/>
      </c>
      <c r="AB111" s="3">
        <f>1.88541666666666 * (E111 - AA111)^2</f>
        <v/>
      </c>
      <c r="AC111" s="3" t="n"/>
      <c r="AD111" s="3" t="n"/>
      <c r="AJ111" s="3" t="n"/>
      <c r="AK111" s="3" t="n"/>
      <c r="AL111" s="3" t="n"/>
      <c r="AM111" s="3" t="n"/>
      <c r="AN111" s="3" t="n"/>
      <c r="AT111" s="3" t="n"/>
      <c r="AU111" s="3" t="n"/>
      <c r="AV111" s="3" t="n"/>
      <c r="AW111" s="3" t="n"/>
      <c r="AX111" s="3" t="n"/>
      <c r="AY111" s="3" t="n"/>
    </row>
    <row r="112">
      <c r="A112" s="3" t="inlineStr">
        <is>
          <t>Mabosstiff - 188/091</t>
        </is>
      </c>
      <c r="B112" s="3" t="inlineStr">
        <is>
          <t>shiny rare</t>
        </is>
      </c>
      <c r="C112" s="3" t="n">
        <v>472</v>
      </c>
      <c r="D112" s="3" t="n">
        <v>1.57</v>
      </c>
      <c r="E112" s="3" t="inlineStr"/>
      <c r="F112" s="3">
        <f>IF(B112="common", 4, IF(B112="uncommon", 3, IF(B112="rare", 0.73878,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>
        <f>E112 *1.88541666666666</f>
        <v/>
      </c>
      <c r="AB112" s="3">
        <f>1.88541666666666 * (E112 - AA112)^2</f>
        <v/>
      </c>
      <c r="AC112" s="3" t="n"/>
      <c r="AD112" s="3" t="n"/>
      <c r="AJ112" s="3" t="n"/>
      <c r="AK112" s="3" t="n"/>
      <c r="AL112" s="3" t="n"/>
      <c r="AM112" s="3" t="n"/>
      <c r="AN112" s="3" t="n"/>
      <c r="AT112" s="3" t="n"/>
      <c r="AU112" s="3" t="n"/>
      <c r="AV112" s="3" t="n"/>
      <c r="AW112" s="3" t="n"/>
      <c r="AX112" s="3" t="n"/>
      <c r="AY112" s="3" t="n"/>
    </row>
    <row r="113">
      <c r="A113" s="3" t="inlineStr">
        <is>
          <t>Magmar</t>
        </is>
      </c>
      <c r="B113" s="3" t="inlineStr">
        <is>
          <t>common</t>
        </is>
      </c>
      <c r="C113" s="3" t="n">
        <v>40</v>
      </c>
      <c r="D113" s="3" t="n">
        <v>0.04</v>
      </c>
      <c r="E113" s="3" t="n">
        <v>0.11</v>
      </c>
      <c r="F113" s="3">
        <f>IF(B113="common", 4, IF(B113="uncommon", 3, IF(B113="rare", 0.73878,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>
        <f>E113 *1.88541666666666</f>
        <v/>
      </c>
      <c r="AB113" s="3">
        <f>1.88541666666666 * (E113 - AA113)^2</f>
        <v/>
      </c>
      <c r="AC113" s="3" t="n"/>
      <c r="AD113" s="3" t="n"/>
      <c r="AJ113" s="3" t="n"/>
      <c r="AK113" s="3" t="n"/>
      <c r="AL113" s="3" t="n"/>
      <c r="AM113" s="3" t="n"/>
      <c r="AN113" s="3" t="n"/>
      <c r="AT113" s="3" t="n"/>
      <c r="AU113" s="3" t="n"/>
      <c r="AV113" s="3" t="n"/>
      <c r="AW113" s="3" t="n"/>
      <c r="AX113" s="3" t="n"/>
      <c r="AY113" s="3" t="n"/>
    </row>
    <row r="114">
      <c r="A114" s="3" t="inlineStr">
        <is>
          <t>Magmortar</t>
        </is>
      </c>
      <c r="B114" s="3" t="inlineStr">
        <is>
          <t>rare</t>
        </is>
      </c>
      <c r="C114" s="3" t="n">
        <v>16</v>
      </c>
      <c r="D114" s="3" t="n">
        <v>0.09</v>
      </c>
      <c r="E114" s="3" t="n">
        <v>0.16</v>
      </c>
      <c r="F114" s="3">
        <f>IF(B114="common", 4, IF(B114="uncommon", 3, IF(B114="rare", 0.73878,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>
        <f>E114 *1.88541666666666</f>
        <v/>
      </c>
      <c r="AB114" s="3">
        <f>1.88541666666666 * (E114 - AA114)^2</f>
        <v/>
      </c>
      <c r="AC114" s="3" t="n"/>
      <c r="AD114" s="3" t="n"/>
      <c r="AJ114" s="3" t="n"/>
      <c r="AK114" s="3" t="n"/>
      <c r="AL114" s="3" t="n"/>
      <c r="AM114" s="3" t="n"/>
      <c r="AN114" s="3" t="n"/>
      <c r="AT114" s="3" t="n"/>
      <c r="AU114" s="3" t="n"/>
      <c r="AV114" s="3" t="n"/>
      <c r="AW114" s="3" t="n"/>
      <c r="AX114" s="3" t="n"/>
      <c r="AY114" s="3" t="n"/>
    </row>
    <row r="115">
      <c r="A115" s="3" t="inlineStr">
        <is>
          <t>Mankey - 045/091</t>
        </is>
      </c>
      <c r="B115" s="3" t="inlineStr">
        <is>
          <t>common</t>
        </is>
      </c>
      <c r="C115" s="3" t="n">
        <v>40</v>
      </c>
      <c r="D115" s="3" t="n">
        <v>0.04</v>
      </c>
      <c r="E115" s="3" t="n">
        <v>0.09</v>
      </c>
      <c r="F115" s="3">
        <f>IF(B115="common", 4, IF(B115="uncommon", 3, IF(B115="rare", 0.73878,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>
        <f>E115 *1.88541666666666</f>
        <v/>
      </c>
      <c r="AB115" s="3">
        <f>1.88541666666666 * (E115 - AA115)^2</f>
        <v/>
      </c>
      <c r="AC115" s="3" t="n"/>
      <c r="AD115" s="3" t="n"/>
      <c r="AJ115" s="3" t="n"/>
      <c r="AK115" s="3" t="n"/>
      <c r="AL115" s="3" t="n"/>
      <c r="AM115" s="3" t="n"/>
      <c r="AN115" s="3" t="n"/>
      <c r="AT115" s="3" t="n"/>
      <c r="AU115" s="3" t="n"/>
      <c r="AV115" s="3" t="n"/>
      <c r="AW115" s="3" t="n"/>
      <c r="AX115" s="3" t="n"/>
      <c r="AY115" s="3" t="n"/>
    </row>
    <row r="116">
      <c r="A116" s="3" t="inlineStr">
        <is>
          <t>Mankey - 169/091</t>
        </is>
      </c>
      <c r="B116" s="3" t="inlineStr">
        <is>
          <t>shiny rare</t>
        </is>
      </c>
      <c r="C116" s="3" t="n">
        <v>472</v>
      </c>
      <c r="D116" s="3" t="n">
        <v>3.23</v>
      </c>
      <c r="E116" s="3" t="inlineStr"/>
      <c r="F116" s="3">
        <f>IF(B116="common", 4, IF(B116="uncommon", 3, IF(B116="rare", 0.73878,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>
        <f>E116 *1.88541666666666</f>
        <v/>
      </c>
      <c r="AB116" s="3">
        <f>1.88541666666666 * (E116 - AA116)^2</f>
        <v/>
      </c>
      <c r="AC116" s="3" t="n"/>
      <c r="AD116" s="3" t="n"/>
      <c r="AJ116" s="3" t="n"/>
      <c r="AK116" s="3" t="n"/>
      <c r="AL116" s="3" t="n"/>
      <c r="AM116" s="3" t="n"/>
      <c r="AN116" s="3" t="n"/>
      <c r="AT116" s="3" t="n"/>
      <c r="AU116" s="3" t="n"/>
      <c r="AV116" s="3" t="n"/>
      <c r="AW116" s="3" t="n"/>
      <c r="AX116" s="3" t="n"/>
      <c r="AY116" s="3" t="n"/>
    </row>
    <row r="117">
      <c r="A117" s="3" t="inlineStr">
        <is>
          <t>Maractus</t>
        </is>
      </c>
      <c r="B117" s="3" t="inlineStr">
        <is>
          <t>common</t>
        </is>
      </c>
      <c r="C117" s="3" t="n">
        <v>40</v>
      </c>
      <c r="D117" s="3" t="n">
        <v>0.05</v>
      </c>
      <c r="E117" s="3" t="n">
        <v>0.12</v>
      </c>
      <c r="F117" s="3">
        <f>IF(B117="common", 4, IF(B117="uncommon", 3, IF(B117="rare", 0.73878,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>
        <f>E117 *1.88541666666666</f>
        <v/>
      </c>
      <c r="AB117" s="3">
        <f>1.88541666666666 * (E117 - AA117)^2</f>
        <v/>
      </c>
      <c r="AC117" s="3" t="n"/>
      <c r="AD117" s="3" t="n"/>
      <c r="AJ117" s="3" t="n"/>
      <c r="AK117" s="3" t="n"/>
      <c r="AL117" s="3" t="n"/>
      <c r="AM117" s="3" t="n"/>
      <c r="AN117" s="3" t="n"/>
      <c r="AT117" s="3" t="n"/>
      <c r="AU117" s="3" t="n"/>
      <c r="AV117" s="3" t="n"/>
      <c r="AW117" s="3" t="n"/>
      <c r="AX117" s="3" t="n"/>
      <c r="AY117" s="3" t="n"/>
    </row>
    <row r="118">
      <c r="A118" s="3" t="inlineStr">
        <is>
          <t>Maschiff</t>
        </is>
      </c>
      <c r="B118" s="3" t="inlineStr">
        <is>
          <t>common</t>
        </is>
      </c>
      <c r="C118" s="3" t="n">
        <v>40</v>
      </c>
      <c r="D118" s="3" t="n">
        <v>0.03</v>
      </c>
      <c r="E118" s="3" t="n">
        <v>0.11</v>
      </c>
      <c r="F118" s="3">
        <f>IF(B118="common", 4, IF(B118="uncommon", 3, IF(B118="rare", 0.73878,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>
        <f>E118 *1.88541666666666</f>
        <v/>
      </c>
      <c r="AB118" s="3">
        <f>1.88541666666666 * (E118 - AA118)^2</f>
        <v/>
      </c>
      <c r="AC118" s="3" t="n"/>
      <c r="AD118" s="3" t="n"/>
      <c r="AJ118" s="3" t="n"/>
      <c r="AK118" s="3" t="n"/>
      <c r="AL118" s="3" t="n"/>
      <c r="AM118" s="3" t="n"/>
      <c r="AN118" s="3" t="n"/>
      <c r="AT118" s="3" t="n"/>
      <c r="AU118" s="3" t="n"/>
      <c r="AV118" s="3" t="n"/>
      <c r="AW118" s="3" t="n"/>
      <c r="AX118" s="3" t="n"/>
      <c r="AY118" s="3" t="n"/>
    </row>
    <row r="119">
      <c r="A119" s="3" t="inlineStr">
        <is>
          <t>Maushold - 074/091</t>
        </is>
      </c>
      <c r="B119" s="3" t="inlineStr">
        <is>
          <t>uncommon</t>
        </is>
      </c>
      <c r="C119" s="3" t="n">
        <v>25</v>
      </c>
      <c r="D119" s="3" t="n">
        <v>0.08</v>
      </c>
      <c r="E119" s="3" t="n">
        <v>0.23</v>
      </c>
      <c r="F119" s="3">
        <f>IF(B119="common", 4, IF(B119="uncommon", 3, IF(B119="rare", 0.73878,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>
        <f>E119 *1.88541666666666</f>
        <v/>
      </c>
      <c r="AB119" s="3">
        <f>1.88541666666666 * (E119 - AA119)^2</f>
        <v/>
      </c>
      <c r="AC119" s="3" t="n"/>
      <c r="AD119" s="3" t="n"/>
      <c r="AJ119" s="3" t="n"/>
      <c r="AK119" s="3" t="n"/>
      <c r="AL119" s="3" t="n"/>
      <c r="AM119" s="3" t="n"/>
      <c r="AN119" s="3" t="n"/>
      <c r="AT119" s="3" t="n"/>
      <c r="AU119" s="3" t="n"/>
      <c r="AV119" s="3" t="n"/>
      <c r="AW119" s="3" t="n"/>
      <c r="AX119" s="3" t="n"/>
      <c r="AY119" s="3" t="n"/>
    </row>
    <row r="120">
      <c r="A120" s="3" t="inlineStr">
        <is>
          <t>Maushold - 210/091</t>
        </is>
      </c>
      <c r="B120" s="3" t="inlineStr">
        <is>
          <t>shiny rare</t>
        </is>
      </c>
      <c r="C120" s="3" t="n">
        <v>472</v>
      </c>
      <c r="D120" s="3" t="n">
        <v>12</v>
      </c>
      <c r="E120" s="3" t="inlineStr"/>
      <c r="F120" s="3">
        <f>IF(B120="common", 4, IF(B120="uncommon", 3, IF(B120="rare", 0.73878,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>
        <f>E120 *1.88541666666666</f>
        <v/>
      </c>
      <c r="AB120" s="3">
        <f>1.88541666666666 * (E120 - AA120)^2</f>
        <v/>
      </c>
      <c r="AC120" s="3" t="n"/>
      <c r="AD120" s="3" t="n"/>
      <c r="AJ120" s="3" t="n"/>
      <c r="AK120" s="3" t="n"/>
      <c r="AL120" s="3" t="n"/>
      <c r="AM120" s="3" t="n"/>
      <c r="AN120" s="3" t="n"/>
      <c r="AT120" s="3" t="n"/>
      <c r="AU120" s="3" t="n"/>
      <c r="AV120" s="3" t="n"/>
      <c r="AW120" s="3" t="n"/>
      <c r="AX120" s="3" t="n"/>
      <c r="AY120" s="3" t="n"/>
    </row>
    <row r="121">
      <c r="A121" s="3" t="inlineStr">
        <is>
          <t>Mew ex - 216/091</t>
        </is>
      </c>
      <c r="B121" s="3" t="inlineStr">
        <is>
          <t>shiny ultra rare</t>
        </is>
      </c>
      <c r="C121" s="3" t="n">
        <v>155</v>
      </c>
      <c r="D121" s="3" t="n">
        <v>24.92</v>
      </c>
      <c r="E121" s="3" t="inlineStr"/>
      <c r="F121" s="3">
        <f>IF(B121="common", 4, IF(B121="uncommon", 3, IF(B121="rare", 0.73878,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>
        <f>E121 *1.88541666666666</f>
        <v/>
      </c>
      <c r="AB121" s="3">
        <f>1.88541666666666 * (E121 - AA121)^2</f>
        <v/>
      </c>
      <c r="AC121" s="3" t="n"/>
      <c r="AD121" s="3" t="n"/>
      <c r="AJ121" s="3" t="n"/>
      <c r="AK121" s="3" t="n"/>
      <c r="AL121" s="3" t="n"/>
      <c r="AM121" s="3" t="n"/>
      <c r="AN121" s="3" t="n"/>
      <c r="AT121" s="3" t="n"/>
      <c r="AU121" s="3" t="n"/>
      <c r="AV121" s="3" t="n"/>
      <c r="AW121" s="3" t="n"/>
      <c r="AX121" s="3" t="n"/>
      <c r="AY121" s="3" t="n"/>
    </row>
    <row r="122">
      <c r="A122" s="3" t="inlineStr">
        <is>
          <t>Mew ex - 232/091</t>
        </is>
      </c>
      <c r="B122" s="3" t="inlineStr">
        <is>
          <t>special illustration rare</t>
        </is>
      </c>
      <c r="C122" s="3" t="n">
        <v>465</v>
      </c>
      <c r="D122" s="3" t="n">
        <v>542.12</v>
      </c>
      <c r="E122" s="3" t="inlineStr"/>
      <c r="F122" s="3">
        <f>IF(B122="common", 4, IF(B122="uncommon", 3, IF(B122="rare", 0.73878,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>
        <f>E122 *1.88541666666666</f>
        <v/>
      </c>
      <c r="AB122" s="3">
        <f>1.88541666666666 * (E122 - AA122)^2</f>
        <v/>
      </c>
      <c r="AC122" s="3" t="n"/>
      <c r="AD122" s="3" t="n"/>
      <c r="AJ122" s="3" t="n"/>
      <c r="AK122" s="3" t="n"/>
      <c r="AL122" s="3" t="n"/>
      <c r="AM122" s="3" t="n"/>
      <c r="AN122" s="3" t="n"/>
      <c r="AT122" s="3" t="n"/>
      <c r="AU122" s="3" t="n"/>
      <c r="AV122" s="3" t="n"/>
      <c r="AW122" s="3" t="n"/>
      <c r="AX122" s="3" t="n"/>
      <c r="AY122" s="3" t="n"/>
    </row>
    <row r="123">
      <c r="A123" s="3" t="inlineStr">
        <is>
          <t>Mime Jr. - 031/091</t>
        </is>
      </c>
      <c r="B123" s="3" t="inlineStr">
        <is>
          <t>common</t>
        </is>
      </c>
      <c r="C123" s="3" t="n">
        <v>40</v>
      </c>
      <c r="D123" s="3" t="n">
        <v>0.11</v>
      </c>
      <c r="E123" s="3" t="n">
        <v>0.15</v>
      </c>
      <c r="F123" s="3">
        <f>IF(B123="common", 4, IF(B123="uncommon", 3, IF(B123="rare", 0.73878,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>
        <f>E123 *1.88541666666666</f>
        <v/>
      </c>
      <c r="AB123" s="3">
        <f>1.88541666666666 * (E123 - AA123)^2</f>
        <v/>
      </c>
      <c r="AC123" s="3" t="n"/>
      <c r="AD123" s="3" t="n"/>
      <c r="AJ123" s="3" t="n"/>
      <c r="AK123" s="3" t="n"/>
      <c r="AL123" s="3" t="n"/>
      <c r="AM123" s="3" t="n"/>
      <c r="AN123" s="3" t="n"/>
      <c r="AT123" s="3" t="n"/>
      <c r="AU123" s="3" t="n"/>
      <c r="AV123" s="3" t="n"/>
      <c r="AW123" s="3" t="n"/>
      <c r="AX123" s="3" t="n"/>
      <c r="AY123" s="3" t="n"/>
    </row>
    <row r="124">
      <c r="A124" s="3" t="inlineStr">
        <is>
          <t>Mime Jr. - 157/091</t>
        </is>
      </c>
      <c r="B124" s="3" t="inlineStr">
        <is>
          <t>shiny rare</t>
        </is>
      </c>
      <c r="C124" s="3" t="n">
        <v>472</v>
      </c>
      <c r="D124" s="3" t="n">
        <v>2.42</v>
      </c>
      <c r="E124" s="3" t="inlineStr"/>
      <c r="F124" s="3">
        <f>IF(B124="common", 4, IF(B124="uncommon", 3, IF(B124="rare", 0.73878,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>
        <f>E124 *1.88541666666666</f>
        <v/>
      </c>
      <c r="AB124" s="3">
        <f>1.88541666666666 * (E124 - AA124)^2</f>
        <v/>
      </c>
      <c r="AC124" s="3" t="n"/>
      <c r="AD124" s="3" t="n"/>
      <c r="AJ124" s="3" t="n"/>
      <c r="AK124" s="3" t="n"/>
      <c r="AL124" s="3" t="n"/>
      <c r="AM124" s="3" t="n"/>
      <c r="AN124" s="3" t="n"/>
      <c r="AT124" s="3" t="n"/>
      <c r="AU124" s="3" t="n"/>
      <c r="AV124" s="3" t="n"/>
      <c r="AW124" s="3" t="n"/>
      <c r="AX124" s="3" t="n"/>
      <c r="AY124" s="3" t="n"/>
    </row>
    <row r="125">
      <c r="A125" s="3" t="inlineStr">
        <is>
          <t>Mimikyu - 037/091</t>
        </is>
      </c>
      <c r="B125" s="3" t="inlineStr">
        <is>
          <t>rare</t>
        </is>
      </c>
      <c r="C125" s="3" t="n">
        <v>16</v>
      </c>
      <c r="D125" s="3" t="n">
        <v>0.17</v>
      </c>
      <c r="E125" s="3" t="n">
        <v>0.24</v>
      </c>
      <c r="F125" s="3">
        <f>IF(B125="common", 4, IF(B125="uncommon", 3, IF(B125="rare", 0.73878,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>
        <f>E125 *1.88541666666666</f>
        <v/>
      </c>
      <c r="AB125" s="3">
        <f>1.88541666666666 * (E125 - AA125)^2</f>
        <v/>
      </c>
      <c r="AC125" s="3" t="n"/>
      <c r="AD125" s="3" t="n"/>
      <c r="AJ125" s="3" t="n"/>
      <c r="AK125" s="3" t="n"/>
      <c r="AL125" s="3" t="n"/>
      <c r="AM125" s="3" t="n"/>
      <c r="AN125" s="3" t="n"/>
      <c r="AT125" s="3" t="n"/>
      <c r="AU125" s="3" t="n"/>
      <c r="AV125" s="3" t="n"/>
      <c r="AW125" s="3" t="n"/>
      <c r="AX125" s="3" t="n"/>
      <c r="AY125" s="3" t="n"/>
    </row>
    <row r="126">
      <c r="A126" s="3" t="inlineStr">
        <is>
          <t>Mimikyu -160/091</t>
        </is>
      </c>
      <c r="B126" s="3" t="inlineStr">
        <is>
          <t>shiny rare</t>
        </is>
      </c>
      <c r="C126" s="3" t="n">
        <v>472</v>
      </c>
      <c r="D126" s="3" t="n">
        <v>18.64</v>
      </c>
      <c r="E126" s="3" t="inlineStr"/>
      <c r="F126" s="3">
        <f>IF(B126="common", 4, IF(B126="uncommon", 3, IF(B126="rare", 0.73878,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>
        <f>E126 *1.88541666666666</f>
        <v/>
      </c>
      <c r="AB126" s="3">
        <f>1.88541666666666 * (E126 - AA126)^2</f>
        <v/>
      </c>
      <c r="AC126" s="3" t="n"/>
      <c r="AD126" s="3" t="n"/>
      <c r="AJ126" s="3" t="n"/>
      <c r="AK126" s="3" t="n"/>
      <c r="AL126" s="3" t="n"/>
      <c r="AM126" s="3" t="n"/>
      <c r="AN126" s="3" t="n"/>
      <c r="AT126" s="3" t="n"/>
      <c r="AU126" s="3" t="n"/>
      <c r="AV126" s="3" t="n"/>
      <c r="AW126" s="3" t="n"/>
      <c r="AX126" s="3" t="n"/>
      <c r="AY126" s="3" t="n"/>
    </row>
    <row r="127">
      <c r="A127" s="3" t="inlineStr">
        <is>
          <t>Miraidon ex</t>
        </is>
      </c>
      <c r="B127" s="3" t="inlineStr">
        <is>
          <t>hyper rare</t>
        </is>
      </c>
      <c r="C127" s="3" t="n">
        <v>372</v>
      </c>
      <c r="D127" s="3" t="n">
        <v>9.960000000000001</v>
      </c>
      <c r="E127" s="3" t="inlineStr"/>
      <c r="F127" s="3">
        <f>IF(B127="common", 4, IF(B127="uncommon", 3, IF(B127="rare", 0.73878,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>
        <f>E127 *1.88541666666666</f>
        <v/>
      </c>
      <c r="AB127" s="3">
        <f>1.88541666666666 * (E127 - AA127)^2</f>
        <v/>
      </c>
      <c r="AC127" s="3" t="n"/>
      <c r="AD127" s="3" t="n"/>
      <c r="AJ127" s="3" t="n"/>
      <c r="AK127" s="3" t="n"/>
      <c r="AL127" s="3" t="n"/>
      <c r="AM127" s="3" t="n"/>
      <c r="AN127" s="3" t="n"/>
      <c r="AT127" s="3" t="n"/>
      <c r="AU127" s="3" t="n"/>
      <c r="AV127" s="3" t="n"/>
      <c r="AW127" s="3" t="n"/>
      <c r="AX127" s="3" t="n"/>
      <c r="AY127" s="3" t="n"/>
    </row>
    <row r="128">
      <c r="A128" s="3" t="inlineStr">
        <is>
          <t>Moonlit Hill</t>
        </is>
      </c>
      <c r="B128" s="3" t="inlineStr">
        <is>
          <t>uncommon</t>
        </is>
      </c>
      <c r="C128" s="3" t="n">
        <v>25</v>
      </c>
      <c r="D128" s="3" t="n">
        <v>0.05</v>
      </c>
      <c r="E128" s="3" t="n">
        <v>0.16</v>
      </c>
      <c r="F128" s="3">
        <f>IF(B128="common", 4, IF(B128="uncommon", 3, IF(B128="rare", 0.73878,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>
        <f>E128 *1.88541666666666</f>
        <v/>
      </c>
      <c r="AB128" s="3">
        <f>1.88541666666666 * (E128 - AA128)^2</f>
        <v/>
      </c>
      <c r="AC128" s="3" t="n"/>
      <c r="AD128" s="3" t="n"/>
      <c r="AJ128" s="3" t="n"/>
      <c r="AK128" s="3" t="n"/>
      <c r="AL128" s="3" t="n"/>
      <c r="AM128" s="3" t="n"/>
      <c r="AN128" s="3" t="n"/>
      <c r="AT128" s="3" t="n"/>
      <c r="AU128" s="3" t="n"/>
      <c r="AV128" s="3" t="n"/>
      <c r="AW128" s="3" t="n"/>
      <c r="AX128" s="3" t="n"/>
      <c r="AY128" s="3" t="n"/>
    </row>
    <row r="129">
      <c r="A129" s="3" t="inlineStr">
        <is>
          <t>Murkrow</t>
        </is>
      </c>
      <c r="B129" s="3" t="inlineStr">
        <is>
          <t>shiny rare</t>
        </is>
      </c>
      <c r="C129" s="3" t="n">
        <v>472</v>
      </c>
      <c r="D129" s="3" t="n">
        <v>2.88</v>
      </c>
      <c r="E129" s="3" t="inlineStr"/>
      <c r="F129" s="3">
        <f>IF(B129="common", 4, IF(B129="uncommon", 3, IF(B129="rare", 0.73878,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>
        <f>E129 *1.88541666666666</f>
        <v/>
      </c>
      <c r="AB129" s="3">
        <f>1.88541666666666 * (E129 - AA129)^2</f>
        <v/>
      </c>
      <c r="AC129" s="3" t="n"/>
      <c r="AD129" s="3" t="n"/>
      <c r="AJ129" s="3" t="n"/>
      <c r="AK129" s="3" t="n"/>
      <c r="AL129" s="3" t="n"/>
      <c r="AM129" s="3" t="n"/>
      <c r="AN129" s="3" t="n"/>
      <c r="AT129" s="3" t="n"/>
      <c r="AU129" s="3" t="n"/>
      <c r="AV129" s="3" t="n"/>
      <c r="AW129" s="3" t="n"/>
      <c r="AX129" s="3" t="n"/>
      <c r="AY129" s="3" t="n"/>
    </row>
    <row r="130">
      <c r="A130" s="3" t="inlineStr">
        <is>
          <t>Nacli - 176/091</t>
        </is>
      </c>
      <c r="B130" s="3" t="inlineStr">
        <is>
          <t>shiny rare</t>
        </is>
      </c>
      <c r="C130" s="3" t="n">
        <v>472</v>
      </c>
      <c r="D130" s="3" t="n">
        <v>1.75</v>
      </c>
      <c r="E130" s="3" t="inlineStr"/>
      <c r="F130" s="3">
        <f>IF(B130="common", 4, IF(B130="uncommon", 3, IF(B130="rare", 0.73878,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>
        <f>E130 *1.88541666666666</f>
        <v/>
      </c>
      <c r="AB130" s="3">
        <f>1.88541666666666 * (E130 - AA130)^2</f>
        <v/>
      </c>
      <c r="AC130" s="3" t="n"/>
      <c r="AD130" s="3" t="n"/>
      <c r="AJ130" s="3" t="n"/>
      <c r="AK130" s="3" t="n"/>
      <c r="AL130" s="3" t="n"/>
      <c r="AM130" s="3" t="n"/>
      <c r="AN130" s="3" t="n"/>
      <c r="AT130" s="3" t="n"/>
      <c r="AU130" s="3" t="n"/>
      <c r="AV130" s="3" t="n"/>
      <c r="AW130" s="3" t="n"/>
      <c r="AX130" s="3" t="n"/>
      <c r="AY130" s="3" t="n"/>
    </row>
    <row r="131">
      <c r="A131" s="3" t="inlineStr">
        <is>
          <t>Naclstack</t>
        </is>
      </c>
      <c r="B131" s="3" t="inlineStr">
        <is>
          <t>shiny rare</t>
        </is>
      </c>
      <c r="C131" s="3" t="n">
        <v>472</v>
      </c>
      <c r="D131" s="3" t="n">
        <v>2.13</v>
      </c>
      <c r="E131" s="3" t="inlineStr"/>
      <c r="F131" s="3">
        <f>IF(B131="common", 4, IF(B131="uncommon", 3, IF(B131="rare", 0.73878,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>
        <f>E131 *1.88541666666666</f>
        <v/>
      </c>
      <c r="AB131" s="3">
        <f>1.88541666666666 * (E131  -  AA131)^2</f>
        <v/>
      </c>
      <c r="AC131" s="3" t="n"/>
      <c r="AD131" s="3" t="n"/>
      <c r="AJ131" s="3" t="n"/>
      <c r="AK131" s="3" t="n"/>
      <c r="AL131" s="3" t="n"/>
      <c r="AM131" s="3" t="n"/>
      <c r="AN131" s="3" t="n"/>
      <c r="AT131" s="3" t="n"/>
      <c r="AU131" s="3" t="n"/>
      <c r="AV131" s="3" t="n"/>
      <c r="AW131" s="3" t="n"/>
      <c r="AX131" s="3" t="n"/>
      <c r="AY131" s="3" t="n"/>
    </row>
    <row r="132">
      <c r="A132" s="3" t="inlineStr">
        <is>
          <t>Natu - 025/091</t>
        </is>
      </c>
      <c r="B132" s="3" t="inlineStr">
        <is>
          <t>common</t>
        </is>
      </c>
      <c r="C132" s="3" t="n">
        <v>40</v>
      </c>
      <c r="D132" s="3" t="n">
        <v>0.08</v>
      </c>
      <c r="E132" s="3" t="n">
        <v>0.13</v>
      </c>
      <c r="F132" s="3">
        <f>IF(B132="common", 4, IF(B132="uncommon", 3, IF(B132="rare", 0.73878,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>
        <f>E132 *1.88541666666666</f>
        <v/>
      </c>
      <c r="AB132" s="3">
        <f>1.88541666666666 * (E132 - AA132)^2</f>
        <v/>
      </c>
      <c r="AC132" s="3" t="n"/>
      <c r="AD132" s="3" t="n"/>
      <c r="AJ132" s="3" t="n"/>
      <c r="AK132" s="3" t="n"/>
      <c r="AL132" s="3" t="n"/>
      <c r="AM132" s="3" t="n"/>
      <c r="AN132" s="3" t="n"/>
      <c r="AT132" s="3" t="n"/>
      <c r="AU132" s="3" t="n"/>
      <c r="AV132" s="3" t="n"/>
      <c r="AW132" s="3" t="n"/>
      <c r="AX132" s="3" t="n"/>
      <c r="AY132" s="3" t="n"/>
    </row>
    <row r="133">
      <c r="A133" s="3" t="inlineStr">
        <is>
          <t>Natu - 151/091</t>
        </is>
      </c>
      <c r="B133" s="3" t="inlineStr">
        <is>
          <t>shiny rare</t>
        </is>
      </c>
      <c r="C133" s="3" t="n">
        <v>472</v>
      </c>
      <c r="D133" s="3" t="n">
        <v>2.68</v>
      </c>
      <c r="E133" s="3" t="inlineStr"/>
      <c r="F133" s="3">
        <f>IF(B133="common", 4, IF(B133="uncommon", 3, IF(B133="rare", 0.73878,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>
        <f>E133 *1.88541666666666</f>
        <v/>
      </c>
      <c r="AB133" s="3">
        <f>1.88541666666666 * (E133 - AA133)^2</f>
        <v/>
      </c>
      <c r="AC133" s="3" t="n"/>
      <c r="AD133" s="3" t="n"/>
      <c r="AJ133" s="3" t="n"/>
      <c r="AK133" s="3" t="n"/>
      <c r="AL133" s="3" t="n"/>
      <c r="AM133" s="3" t="n"/>
      <c r="AN133" s="3" t="n"/>
      <c r="AT133" s="3" t="n"/>
      <c r="AU133" s="3" t="n"/>
      <c r="AV133" s="3" t="n"/>
      <c r="AW133" s="3" t="n"/>
      <c r="AX133" s="3" t="n"/>
      <c r="AY133" s="3" t="n"/>
    </row>
    <row r="134">
      <c r="A134" s="3" t="inlineStr">
        <is>
          <t>Nemona - 082/091</t>
        </is>
      </c>
      <c r="B134" s="3" t="inlineStr">
        <is>
          <t>common</t>
        </is>
      </c>
      <c r="C134" s="3" t="n">
        <v>40</v>
      </c>
      <c r="D134" s="3" t="n">
        <v>0.04</v>
      </c>
      <c r="E134" s="3" t="n">
        <v>0.14</v>
      </c>
      <c r="F134" s="3">
        <f>IF(B134="common", 4, IF(B134="uncommon", 3, IF(B134="rare", 0.73878,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>
        <f>E134 *1.88541666666666</f>
        <v/>
      </c>
      <c r="AB134" s="3">
        <f>1.88541666666666 * (E134 - AA134)^2</f>
        <v/>
      </c>
      <c r="AC134" s="3" t="n"/>
      <c r="AD134" s="3" t="n"/>
      <c r="AJ134" s="3" t="n"/>
      <c r="AK134" s="3" t="n"/>
      <c r="AL134" s="3" t="n"/>
      <c r="AM134" s="3" t="n"/>
      <c r="AN134" s="3" t="n"/>
      <c r="AT134" s="3" t="n"/>
      <c r="AU134" s="3" t="n"/>
      <c r="AV134" s="3" t="n"/>
      <c r="AW134" s="3" t="n"/>
      <c r="AX134" s="3" t="n"/>
      <c r="AY134" s="3" t="n"/>
    </row>
    <row r="135">
      <c r="A135" s="3" t="inlineStr">
        <is>
          <t>Nemona - 229/091</t>
        </is>
      </c>
      <c r="B135" s="3" t="inlineStr">
        <is>
          <t>ultra rare</t>
        </is>
      </c>
      <c r="C135" s="3" t="n">
        <v>76</v>
      </c>
      <c r="D135" s="3" t="n">
        <v>0.72</v>
      </c>
      <c r="E135" s="3" t="inlineStr"/>
      <c r="F135" s="3">
        <f>IF(B135="common", 4, IF(B135="uncommon", 3, IF(B135="rare", 0.73878,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>
        <f>E135 *1.88541666666666</f>
        <v/>
      </c>
      <c r="AB135" s="3">
        <f>1.88541666666666 * (E135 - AA135)^2</f>
        <v/>
      </c>
      <c r="AC135" s="3" t="n"/>
      <c r="AD135" s="3" t="n"/>
      <c r="AJ135" s="3" t="n"/>
      <c r="AK135" s="3" t="n"/>
      <c r="AL135" s="3" t="n"/>
      <c r="AM135" s="3" t="n"/>
      <c r="AN135" s="3" t="n"/>
      <c r="AT135" s="3" t="n"/>
      <c r="AU135" s="3" t="n"/>
      <c r="AV135" s="3" t="n"/>
      <c r="AW135" s="3" t="n"/>
      <c r="AX135" s="3" t="n"/>
      <c r="AY135" s="3" t="n"/>
    </row>
    <row r="136">
      <c r="A136" s="3" t="inlineStr">
        <is>
          <t>Nemona - 238/091</t>
        </is>
      </c>
      <c r="B136" s="3" t="inlineStr">
        <is>
          <t>special illustration rare</t>
        </is>
      </c>
      <c r="C136" s="3" t="n">
        <v>465</v>
      </c>
      <c r="D136" s="3" t="n">
        <v>6.05</v>
      </c>
      <c r="E136" s="3" t="inlineStr"/>
      <c r="F136" s="3">
        <f>IF(B136="common", 4, IF(B136="uncommon", 3, IF(B136="rare", 0.73878,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>
        <f>E136 *1.88541666666666</f>
        <v/>
      </c>
      <c r="AB136" s="3">
        <f>1.88541666666666 * (E136 - AA136)^2</f>
        <v/>
      </c>
      <c r="AC136" s="3" t="n"/>
      <c r="AD136" s="3" t="n"/>
      <c r="AJ136" s="3" t="n"/>
      <c r="AK136" s="3" t="n"/>
      <c r="AL136" s="3" t="n"/>
      <c r="AM136" s="3" t="n"/>
      <c r="AN136" s="3" t="n"/>
      <c r="AT136" s="3" t="n"/>
      <c r="AU136" s="3" t="n"/>
      <c r="AV136" s="3" t="n"/>
      <c r="AW136" s="3" t="n"/>
      <c r="AX136" s="3" t="n"/>
      <c r="AY136" s="3" t="n"/>
    </row>
    <row r="137">
      <c r="A137" s="3" t="inlineStr">
        <is>
          <t>Nemona's Backpack</t>
        </is>
      </c>
      <c r="B137" s="3" t="inlineStr">
        <is>
          <t>uncommon</t>
        </is>
      </c>
      <c r="C137" s="3" t="n">
        <v>25</v>
      </c>
      <c r="D137" s="3" t="n">
        <v>0.04</v>
      </c>
      <c r="E137" s="3" t="n">
        <v>0.14</v>
      </c>
      <c r="F137" s="3">
        <f>IF(B137="common", 4, IF(B137="uncommon", 3, IF(B137="rare", 0.73878,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>
        <f>E137 *1.88541666666666</f>
        <v/>
      </c>
      <c r="AB137" s="3">
        <f>1.88541666666666 * (E137 - AA137)^2</f>
        <v/>
      </c>
      <c r="AC137" s="3" t="n"/>
      <c r="AD137" s="3" t="n"/>
      <c r="AJ137" s="3" t="n"/>
      <c r="AK137" s="3" t="n"/>
      <c r="AL137" s="3" t="n"/>
      <c r="AM137" s="3" t="n"/>
      <c r="AN137" s="3" t="n"/>
      <c r="AT137" s="3" t="n"/>
      <c r="AU137" s="3" t="n"/>
      <c r="AV137" s="3" t="n"/>
      <c r="AW137" s="3" t="n"/>
      <c r="AX137" s="3" t="n"/>
      <c r="AY137" s="3" t="n"/>
    </row>
    <row r="138">
      <c r="A138" s="3" t="inlineStr">
        <is>
          <t>Nest Ball</t>
        </is>
      </c>
      <c r="B138" s="3" t="inlineStr">
        <is>
          <t>uncommon</t>
        </is>
      </c>
      <c r="C138" s="3" t="n">
        <v>25</v>
      </c>
      <c r="D138" s="3" t="n">
        <v>0.21</v>
      </c>
      <c r="E138" s="3" t="n">
        <v>0.67</v>
      </c>
      <c r="F138" s="3">
        <f>IF(B138="common", 4, IF(B138="uncommon", 3, IF(B138="rare", 0.73878,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>
        <f>E138 *1.88541666666666</f>
        <v/>
      </c>
      <c r="AB138" s="3">
        <f>1.88541666666666 * (E138 - AA138)^2</f>
        <v/>
      </c>
      <c r="AC138" s="3" t="n"/>
      <c r="AD138" s="3" t="n"/>
      <c r="AJ138" s="3" t="n"/>
      <c r="AK138" s="3" t="n"/>
      <c r="AL138" s="3" t="n"/>
      <c r="AM138" s="3" t="n"/>
      <c r="AN138" s="3" t="n"/>
      <c r="AT138" s="3" t="n"/>
      <c r="AU138" s="3" t="n"/>
      <c r="AV138" s="3" t="n"/>
      <c r="AW138" s="3" t="n"/>
      <c r="AX138" s="3" t="n"/>
      <c r="AY138" s="3" t="n"/>
    </row>
    <row r="139">
      <c r="A139" s="3" t="inlineStr">
        <is>
          <t>Noibat - 068/091</t>
        </is>
      </c>
      <c r="B139" s="3" t="inlineStr">
        <is>
          <t>common</t>
        </is>
      </c>
      <c r="C139" s="3" t="n">
        <v>40</v>
      </c>
      <c r="D139" s="3" t="n">
        <v>0.03</v>
      </c>
      <c r="E139" s="3" t="n">
        <v>0.09</v>
      </c>
      <c r="F139" s="3">
        <f>IF(B139="common", 4, IF(B139="uncommon", 3, IF(B139="rare", 0.73878,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>
        <f>E139 *1.88541666666666</f>
        <v/>
      </c>
      <c r="AB139" s="3">
        <f>1.88541666666666 * (E139 - AA139)^2</f>
        <v/>
      </c>
      <c r="AC139" s="3" t="n"/>
      <c r="AD139" s="3" t="n"/>
      <c r="AJ139" s="3" t="n"/>
      <c r="AK139" s="3" t="n"/>
      <c r="AL139" s="3" t="n"/>
      <c r="AM139" s="3" t="n"/>
      <c r="AN139" s="3" t="n"/>
      <c r="AT139" s="3" t="n"/>
      <c r="AU139" s="3" t="n"/>
      <c r="AV139" s="3" t="n"/>
      <c r="AW139" s="3" t="n"/>
      <c r="AX139" s="3" t="n"/>
      <c r="AY139" s="3" t="n"/>
    </row>
    <row r="140">
      <c r="A140" s="3" t="inlineStr">
        <is>
          <t>Noibat - 194/091</t>
        </is>
      </c>
      <c r="B140" s="3" t="inlineStr">
        <is>
          <t>shiny rare</t>
        </is>
      </c>
      <c r="C140" s="3" t="n">
        <v>472</v>
      </c>
      <c r="D140" s="3" t="n">
        <v>3.83</v>
      </c>
      <c r="E140" s="3" t="inlineStr"/>
      <c r="F140" s="3">
        <f>IF(B140="common", 4, IF(B140="uncommon", 3, IF(B140="rare", 0.73878,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>
        <f>E140 *1.88541666666666</f>
        <v/>
      </c>
      <c r="AB140" s="3">
        <f>1.88541666666666 * (E140 - AA140)^2</f>
        <v/>
      </c>
      <c r="AC140" s="3" t="n"/>
      <c r="AD140" s="3" t="n"/>
      <c r="AJ140" s="3" t="n"/>
      <c r="AK140" s="3" t="n"/>
      <c r="AL140" s="3" t="n"/>
      <c r="AM140" s="3" t="n"/>
      <c r="AN140" s="3" t="n"/>
      <c r="AT140" s="3" t="n"/>
      <c r="AU140" s="3" t="n"/>
      <c r="AV140" s="3" t="n"/>
      <c r="AW140" s="3" t="n"/>
      <c r="AX140" s="3" t="n"/>
      <c r="AY140" s="3" t="n"/>
    </row>
    <row r="141">
      <c r="A141" s="3" t="inlineStr">
        <is>
          <t>Noivern ex - 069/091</t>
        </is>
      </c>
      <c r="B141" s="3" t="inlineStr">
        <is>
          <t>double rare</t>
        </is>
      </c>
      <c r="C141" s="3" t="n">
        <v>63</v>
      </c>
      <c r="D141" s="3" t="n">
        <v>0.59</v>
      </c>
      <c r="E141" s="3" t="inlineStr"/>
      <c r="F141" s="3">
        <f>IF(B141="common", 4, IF(B141="uncommon", 3, IF(B141="rare", 0.73878,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>
        <f>E141 *1.88541666666666</f>
        <v/>
      </c>
      <c r="AB141" s="3">
        <f>1.88541666666666 * (E141 - AA141)^2</f>
        <v/>
      </c>
      <c r="AC141" s="3" t="n"/>
      <c r="AD141" s="3" t="n"/>
      <c r="AJ141" s="3" t="n"/>
      <c r="AK141" s="3" t="n"/>
      <c r="AL141" s="3" t="n"/>
      <c r="AM141" s="3" t="n"/>
      <c r="AN141" s="3" t="n"/>
      <c r="AT141" s="3" t="n"/>
      <c r="AU141" s="3" t="n"/>
      <c r="AV141" s="3" t="n"/>
      <c r="AW141" s="3" t="n"/>
      <c r="AX141" s="3" t="n"/>
      <c r="AY141" s="3" t="n"/>
    </row>
    <row r="142">
      <c r="A142" s="3" t="inlineStr">
        <is>
          <t>Noivern ex - 220/091</t>
        </is>
      </c>
      <c r="B142" s="3" t="inlineStr">
        <is>
          <t>shiny ultra rare</t>
        </is>
      </c>
      <c r="C142" s="3" t="n">
        <v>155</v>
      </c>
      <c r="D142" s="3" t="n">
        <v>1.59</v>
      </c>
      <c r="E142" s="3" t="inlineStr"/>
      <c r="F142" s="3">
        <f>IF(B142="common", 4, IF(B142="uncommon", 3, IF(B142="rare", 0.73878,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>
        <f>E142 *1.88541666666666</f>
        <v/>
      </c>
      <c r="AB142" s="3">
        <f>1.88541666666666 * (E142 - AA142)^2</f>
        <v/>
      </c>
      <c r="AC142" s="3" t="n"/>
      <c r="AD142" s="3" t="n"/>
      <c r="AJ142" s="3" t="n"/>
      <c r="AK142" s="3" t="n"/>
      <c r="AL142" s="3" t="n"/>
      <c r="AM142" s="3" t="n"/>
      <c r="AN142" s="3" t="n"/>
      <c r="AT142" s="3" t="n"/>
      <c r="AU142" s="3" t="n"/>
      <c r="AV142" s="3" t="n"/>
      <c r="AW142" s="3" t="n"/>
      <c r="AX142" s="3" t="n"/>
      <c r="AY142" s="3" t="n"/>
    </row>
    <row r="143">
      <c r="A143" s="3" t="inlineStr">
        <is>
          <t>Numel</t>
        </is>
      </c>
      <c r="B143" s="3" t="inlineStr">
        <is>
          <t>common</t>
        </is>
      </c>
      <c r="C143" s="3" t="n">
        <v>40</v>
      </c>
      <c r="D143" s="3" t="n">
        <v>0.04</v>
      </c>
      <c r="E143" s="3" t="n">
        <v>0.09</v>
      </c>
      <c r="F143" s="3">
        <f>IF(B143="common", 4, IF(B143="uncommon", 3, IF(B143="rare", 0.73878,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>
        <f>E143 *1.88541666666666</f>
        <v/>
      </c>
      <c r="AB143" s="3">
        <f>1.88541666666666 * (E143 - AA143)^2</f>
        <v/>
      </c>
      <c r="AC143" s="3" t="n"/>
      <c r="AD143" s="3" t="n"/>
      <c r="AJ143" s="3" t="n"/>
      <c r="AK143" s="3" t="n"/>
      <c r="AL143" s="3" t="n"/>
      <c r="AM143" s="3" t="n"/>
      <c r="AN143" s="3" t="n"/>
      <c r="AT143" s="3" t="n"/>
      <c r="AU143" s="3" t="n"/>
      <c r="AV143" s="3" t="n"/>
      <c r="AW143" s="3" t="n"/>
      <c r="AX143" s="3" t="n"/>
      <c r="AY143" s="3" t="n"/>
    </row>
    <row r="144">
      <c r="A144" s="3" t="inlineStr">
        <is>
          <t>Oddish</t>
        </is>
      </c>
      <c r="B144" s="3" t="inlineStr">
        <is>
          <t>shiny rare</t>
        </is>
      </c>
      <c r="C144" s="3" t="n">
        <v>472</v>
      </c>
      <c r="D144" s="3" t="n">
        <v>5.96</v>
      </c>
      <c r="E144" s="3" t="inlineStr"/>
      <c r="F144" s="3">
        <f>IF(B144="common", 4, IF(B144="uncommon", 3, IF(B144="rare", 0.73878,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>
        <f>E144 *1.88541666666666</f>
        <v/>
      </c>
      <c r="AB144" s="3">
        <f>1.88541666666666 * (E144 - AA144)^2</f>
        <v/>
      </c>
      <c r="AC144" s="3" t="n"/>
      <c r="AD144" s="3" t="n"/>
      <c r="AJ144" s="3" t="n"/>
      <c r="AK144" s="3" t="n"/>
      <c r="AL144" s="3" t="n"/>
      <c r="AM144" s="3" t="n"/>
      <c r="AN144" s="3" t="n"/>
      <c r="AT144" s="3" t="n"/>
      <c r="AU144" s="3" t="n"/>
      <c r="AV144" s="3" t="n"/>
      <c r="AW144" s="3" t="n"/>
      <c r="AX144" s="3" t="n"/>
      <c r="AY144" s="3" t="n"/>
    </row>
    <row r="145">
      <c r="A145" s="3" t="inlineStr">
        <is>
          <t>Oinkologne</t>
        </is>
      </c>
      <c r="B145" s="3" t="inlineStr">
        <is>
          <t>uncommon</t>
        </is>
      </c>
      <c r="C145" s="3" t="n">
        <v>25</v>
      </c>
      <c r="D145" s="3" t="n">
        <v>0.02</v>
      </c>
      <c r="E145" s="3" t="n">
        <v>0.17</v>
      </c>
      <c r="F145" s="3">
        <f>IF(B145="common", 4, IF(B145="uncommon", 3, IF(B145="rare", 0.73878,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>
        <f>E145 *1.88541666666666</f>
        <v/>
      </c>
      <c r="AB145" s="3">
        <f>1.88541666666666 * (E145 - AA145)^2</f>
        <v/>
      </c>
      <c r="AC145" s="3" t="n"/>
      <c r="AD145" s="3" t="n"/>
      <c r="AJ145" s="3" t="n"/>
      <c r="AK145" s="3" t="n"/>
      <c r="AL145" s="3" t="n"/>
      <c r="AM145" s="3" t="n"/>
      <c r="AN145" s="3" t="n"/>
      <c r="AT145" s="3" t="n"/>
      <c r="AU145" s="3" t="n"/>
      <c r="AV145" s="3" t="n"/>
      <c r="AW145" s="3" t="n"/>
      <c r="AX145" s="3" t="n"/>
      <c r="AY145" s="3" t="n"/>
    </row>
    <row r="146">
      <c r="A146" s="3" t="inlineStr">
        <is>
          <t>Oinkologne - 208/091</t>
        </is>
      </c>
      <c r="B146" s="3" t="inlineStr">
        <is>
          <t>shiny rare</t>
        </is>
      </c>
      <c r="C146" s="3" t="n">
        <v>472</v>
      </c>
      <c r="D146" s="3" t="n">
        <v>2.51</v>
      </c>
      <c r="E146" s="3" t="inlineStr"/>
      <c r="F146" s="3">
        <f>IF(B146="common", 4, IF(B146="uncommon", 3, IF(B146="rare", 0.73878,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>
        <f>E146 *1.88541666666666</f>
        <v/>
      </c>
      <c r="AB146" s="3">
        <f>1.88541666666666 * (E146 - AA146)^2</f>
        <v/>
      </c>
      <c r="AC146" s="3" t="n"/>
      <c r="AD146" s="3" t="n"/>
      <c r="AJ146" s="3" t="n"/>
      <c r="AK146" s="3" t="n"/>
      <c r="AL146" s="3" t="n"/>
      <c r="AM146" s="3" t="n"/>
      <c r="AN146" s="3" t="n"/>
      <c r="AT146" s="3" t="n"/>
      <c r="AU146" s="3" t="n"/>
      <c r="AV146" s="3" t="n"/>
      <c r="AW146" s="3" t="n"/>
      <c r="AX146" s="3" t="n"/>
      <c r="AY146" s="3" t="n"/>
    </row>
    <row r="147">
      <c r="A147" s="3" t="inlineStr">
        <is>
          <t>Oricorio</t>
        </is>
      </c>
      <c r="B147" s="3" t="inlineStr">
        <is>
          <t>shiny rare</t>
        </is>
      </c>
      <c r="C147" s="3" t="n">
        <v>472</v>
      </c>
      <c r="D147" s="3" t="n">
        <v>1.96</v>
      </c>
      <c r="E147" s="3" t="inlineStr"/>
      <c r="F147" s="3">
        <f>IF(B147="common", 4, IF(B147="uncommon", 3, IF(B147="rare", 0.73878,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>
        <f>E147 *1.88541666666666</f>
        <v/>
      </c>
      <c r="AB147" s="3">
        <f>1.88541666666666 * (E147 - AA147)^2</f>
        <v/>
      </c>
      <c r="AC147" s="3" t="n"/>
      <c r="AD147" s="3" t="n"/>
      <c r="AJ147" s="3" t="n"/>
      <c r="AK147" s="3" t="n"/>
      <c r="AL147" s="3" t="n"/>
      <c r="AM147" s="3" t="n"/>
      <c r="AN147" s="3" t="n"/>
      <c r="AT147" s="3" t="n"/>
      <c r="AU147" s="3" t="n"/>
      <c r="AV147" s="3" t="n"/>
      <c r="AW147" s="3" t="n"/>
      <c r="AX147" s="3" t="n"/>
      <c r="AY147" s="3" t="n"/>
    </row>
    <row r="148">
      <c r="A148" s="3" t="inlineStr">
        <is>
          <t>Pachirisu</t>
        </is>
      </c>
      <c r="B148" s="3" t="inlineStr">
        <is>
          <t>shiny rare</t>
        </is>
      </c>
      <c r="C148" s="3" t="n">
        <v>472</v>
      </c>
      <c r="D148" s="3" t="n">
        <v>4.72</v>
      </c>
      <c r="E148" s="3" t="inlineStr"/>
      <c r="F148" s="3">
        <f>IF(B148="common", 4, IF(B148="uncommon", 3, IF(B148="rare", 0.73878,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>
        <f>E148 *1.88541666666666</f>
        <v/>
      </c>
      <c r="AB148" s="3">
        <f>1.88541666666666 * (E148 - AA148)^2</f>
        <v/>
      </c>
      <c r="AC148" s="3" t="n"/>
      <c r="AD148" s="3" t="n"/>
      <c r="AJ148" s="3" t="n"/>
      <c r="AK148" s="3" t="n"/>
      <c r="AL148" s="3" t="n"/>
      <c r="AM148" s="3" t="n"/>
      <c r="AN148" s="3" t="n"/>
      <c r="AT148" s="3" t="n"/>
      <c r="AU148" s="3" t="n"/>
      <c r="AV148" s="3" t="n"/>
      <c r="AW148" s="3" t="n"/>
      <c r="AX148" s="3" t="n"/>
      <c r="AY148" s="3" t="n"/>
    </row>
    <row r="149">
      <c r="A149" s="3" t="inlineStr">
        <is>
          <t>Palafin - 124/091</t>
        </is>
      </c>
      <c r="B149" s="3" t="inlineStr">
        <is>
          <t>shiny rare</t>
        </is>
      </c>
      <c r="C149" s="3" t="n">
        <v>472</v>
      </c>
      <c r="D149" s="3" t="n">
        <v>1.85</v>
      </c>
      <c r="E149" s="3" t="inlineStr"/>
      <c r="F149" s="3">
        <f>IF(B149="common", 4, IF(B149="uncommon", 3, IF(B149="rare", 0.73878,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>
        <f>E149 *1.88541666666666</f>
        <v/>
      </c>
      <c r="AB149" s="3">
        <f>1.88541666666666 * (E149 - AA149)^2</f>
        <v/>
      </c>
      <c r="AC149" s="3" t="n"/>
      <c r="AD149" s="3" t="n"/>
      <c r="AJ149" s="3" t="n"/>
      <c r="AK149" s="3" t="n"/>
      <c r="AL149" s="3" t="n"/>
      <c r="AM149" s="3" t="n"/>
      <c r="AN149" s="3" t="n"/>
      <c r="AT149" s="3" t="n"/>
      <c r="AU149" s="3" t="n"/>
      <c r="AV149" s="3" t="n"/>
      <c r="AW149" s="3" t="n"/>
      <c r="AX149" s="3" t="n"/>
      <c r="AY149" s="3" t="n"/>
    </row>
    <row r="150">
      <c r="A150" s="3" t="inlineStr">
        <is>
          <t>Palafin - 225/091</t>
        </is>
      </c>
      <c r="B150" s="3" t="inlineStr">
        <is>
          <t>illustration rare</t>
        </is>
      </c>
      <c r="C150" s="3" t="n">
        <v>42</v>
      </c>
      <c r="D150" s="3" t="n">
        <v>1.39</v>
      </c>
      <c r="E150" s="3" t="inlineStr"/>
      <c r="F150" s="3">
        <f>IF(B150="common", 4, IF(B150="uncommon", 3, IF(B150="rare", 0.73878,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>
        <f>E150 *1.88541666666666</f>
        <v/>
      </c>
      <c r="AB150" s="3">
        <f>1.88541666666666 * (E150 - AA150)^2</f>
        <v/>
      </c>
      <c r="AC150" s="3" t="n"/>
      <c r="AD150" s="3" t="n"/>
      <c r="AJ150" s="3" t="n"/>
      <c r="AK150" s="3" t="n"/>
      <c r="AL150" s="3" t="n"/>
      <c r="AM150" s="3" t="n"/>
      <c r="AN150" s="3" t="n"/>
      <c r="AT150" s="3" t="n"/>
      <c r="AU150" s="3" t="n"/>
      <c r="AV150" s="3" t="n"/>
      <c r="AW150" s="3" t="n"/>
      <c r="AX150" s="3" t="n"/>
      <c r="AY150" s="3" t="n"/>
    </row>
    <row r="151">
      <c r="A151" s="3" t="inlineStr">
        <is>
          <t>Paldean Clodsire ex - 059/091</t>
        </is>
      </c>
      <c r="B151" s="3" t="inlineStr">
        <is>
          <t>double rare</t>
        </is>
      </c>
      <c r="C151" s="3" t="n">
        <v>63</v>
      </c>
      <c r="D151" s="3" t="n">
        <v>0.62</v>
      </c>
      <c r="E151" s="3" t="inlineStr"/>
      <c r="F151" s="3">
        <f>IF(B151="common", 4, IF(B151="uncommon", 3, IF(B151="rare", 0.73878,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>
        <f>E151 *1.88541666666666</f>
        <v/>
      </c>
      <c r="AB151" s="3">
        <f>1.88541666666666 * (E151 - AA151)^2</f>
        <v/>
      </c>
      <c r="AC151" s="3" t="n"/>
      <c r="AD151" s="3" t="n"/>
      <c r="AJ151" s="3" t="n"/>
      <c r="AK151" s="3" t="n"/>
      <c r="AL151" s="3" t="n"/>
      <c r="AM151" s="3" t="n"/>
      <c r="AN151" s="3" t="n"/>
      <c r="AT151" s="3" t="n"/>
      <c r="AU151" s="3" t="n"/>
      <c r="AV151" s="3" t="n"/>
      <c r="AW151" s="3" t="n"/>
      <c r="AX151" s="3" t="n"/>
      <c r="AY151" s="3" t="n"/>
    </row>
    <row r="152">
      <c r="A152" s="3" t="inlineStr">
        <is>
          <t>Paldean Clodsire ex - 219/091</t>
        </is>
      </c>
      <c r="B152" s="3" t="inlineStr">
        <is>
          <t>shiny ultra rare</t>
        </is>
      </c>
      <c r="C152" s="3" t="n">
        <v>155</v>
      </c>
      <c r="D152" s="3" t="n">
        <v>1.64</v>
      </c>
      <c r="E152" s="3" t="inlineStr"/>
      <c r="F152" s="3">
        <f>IF(B152="common", 4, IF(B152="uncommon", 3, IF(B152="rare", 0.73878,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>
        <f>E152 *1.88541666666666</f>
        <v/>
      </c>
      <c r="AB152" s="3">
        <f>1.88541666666666 * (E152 - AA152)^2</f>
        <v/>
      </c>
      <c r="AC152" s="3" t="n"/>
      <c r="AD152" s="3" t="n"/>
      <c r="AJ152" s="3" t="n"/>
      <c r="AK152" s="3" t="n"/>
      <c r="AL152" s="3" t="n"/>
      <c r="AM152" s="3" t="n"/>
      <c r="AN152" s="3" t="n"/>
      <c r="AT152" s="3" t="n"/>
      <c r="AU152" s="3" t="n"/>
      <c r="AV152" s="3" t="n"/>
      <c r="AW152" s="3" t="n"/>
      <c r="AX152" s="3" t="n"/>
      <c r="AY152" s="3" t="n"/>
    </row>
    <row r="153">
      <c r="A153" s="3" t="inlineStr">
        <is>
          <t>Paldean Student - 085/091</t>
        </is>
      </c>
      <c r="B153" s="3" t="inlineStr">
        <is>
          <t>common</t>
        </is>
      </c>
      <c r="C153" s="3" t="n">
        <v>40</v>
      </c>
      <c r="D153" s="3" t="n">
        <v>0.03</v>
      </c>
      <c r="E153" s="3" t="n">
        <v>0.1</v>
      </c>
      <c r="F153" s="3">
        <f>IF(B153="common", 4, IF(B153="uncommon", 3, IF(B153="rare", 0.73878,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>
        <f>E153 *1.88541666666666</f>
        <v/>
      </c>
      <c r="AB153" s="3">
        <f>1.88541666666666 * (E153 - AA153)^2</f>
        <v/>
      </c>
      <c r="AC153" s="3" t="n"/>
      <c r="AD153" s="3" t="n"/>
      <c r="AJ153" s="3" t="n"/>
      <c r="AK153" s="3" t="n"/>
      <c r="AL153" s="3" t="n"/>
      <c r="AM153" s="3" t="n"/>
      <c r="AN153" s="3" t="n"/>
      <c r="AT153" s="3" t="n"/>
      <c r="AU153" s="3" t="n"/>
      <c r="AV153" s="3" t="n"/>
      <c r="AW153" s="3" t="n"/>
      <c r="AX153" s="3" t="n"/>
      <c r="AY153" s="3" t="n"/>
    </row>
    <row r="154">
      <c r="A154" s="3" t="inlineStr">
        <is>
          <t>Paldean Student - 086/091</t>
        </is>
      </c>
      <c r="B154" s="3" t="inlineStr">
        <is>
          <t>common</t>
        </is>
      </c>
      <c r="C154" s="3" t="n">
        <v>40</v>
      </c>
      <c r="D154" s="3" t="n">
        <v>0.03</v>
      </c>
      <c r="E154" s="3" t="n">
        <v>0.09</v>
      </c>
      <c r="F154" s="3">
        <f>IF(B154="common", 4, IF(B154="uncommon", 3, IF(B154="rare", 0.73878,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>
        <f>E154 *1.88541666666666</f>
        <v/>
      </c>
      <c r="AB154" s="3">
        <f>1.88541666666666 * (E154 - AA154)^2</f>
        <v/>
      </c>
      <c r="AC154" s="3" t="n"/>
      <c r="AD154" s="3" t="n"/>
      <c r="AJ154" s="3" t="n"/>
      <c r="AK154" s="3" t="n"/>
      <c r="AL154" s="3" t="n"/>
      <c r="AM154" s="3" t="n"/>
      <c r="AN154" s="3" t="n"/>
      <c r="AT154" s="3" t="n"/>
      <c r="AU154" s="3" t="n"/>
      <c r="AV154" s="3" t="n"/>
      <c r="AW154" s="3" t="n"/>
      <c r="AX154" s="3" t="n"/>
      <c r="AY154" s="3" t="n"/>
    </row>
    <row r="155">
      <c r="A155" s="3" t="inlineStr">
        <is>
          <t>Paldean Student - 230/091</t>
        </is>
      </c>
      <c r="B155" s="3" t="inlineStr">
        <is>
          <t>ultra rare</t>
        </is>
      </c>
      <c r="C155" s="3" t="n">
        <v>76</v>
      </c>
      <c r="D155" s="3" t="n">
        <v>0.55</v>
      </c>
      <c r="E155" s="3" t="inlineStr"/>
      <c r="F155" s="3">
        <f>IF(B155="common", 4, IF(B155="uncommon", 3, IF(B155="rare", 0.73878,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>
        <f>E155 *1.88541666666666</f>
        <v/>
      </c>
      <c r="AB155" s="3">
        <f>1.88541666666666 * (E155 - AA155)^2</f>
        <v/>
      </c>
      <c r="AC155" s="3" t="n"/>
      <c r="AD155" s="3" t="n"/>
      <c r="AJ155" s="3" t="n"/>
      <c r="AK155" s="3" t="n"/>
      <c r="AL155" s="3" t="n"/>
      <c r="AM155" s="3" t="n"/>
      <c r="AN155" s="3" t="n"/>
      <c r="AT155" s="3" t="n"/>
      <c r="AU155" s="3" t="n"/>
      <c r="AV155" s="3" t="n"/>
      <c r="AW155" s="3" t="n"/>
      <c r="AX155" s="3" t="n"/>
      <c r="AY155" s="3" t="n"/>
    </row>
    <row r="156">
      <c r="A156" s="3" t="inlineStr">
        <is>
          <t>Paldean Student - 231/091</t>
        </is>
      </c>
      <c r="B156" s="3" t="inlineStr">
        <is>
          <t>ultra rare</t>
        </is>
      </c>
      <c r="C156" s="3" t="n">
        <v>76</v>
      </c>
      <c r="D156" s="3" t="n">
        <v>0.63</v>
      </c>
      <c r="E156" s="3" t="inlineStr"/>
      <c r="F156" s="3">
        <f>IF(B156="common", 4, IF(B156="uncommon", 3, IF(B156="rare", 0.73878,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>
        <f>E156 *1.88541666666666</f>
        <v/>
      </c>
      <c r="AB156" s="3">
        <f>1.88541666666666 * (E156 - AA156)^2</f>
        <v/>
      </c>
      <c r="AC156" s="3" t="n"/>
      <c r="AD156" s="3" t="n"/>
      <c r="AJ156" s="3" t="n"/>
      <c r="AK156" s="3" t="n"/>
      <c r="AL156" s="3" t="n"/>
      <c r="AM156" s="3" t="n"/>
      <c r="AN156" s="3" t="n"/>
      <c r="AT156" s="3" t="n"/>
      <c r="AU156" s="3" t="n"/>
      <c r="AV156" s="3" t="n"/>
      <c r="AW156" s="3" t="n"/>
      <c r="AX156" s="3" t="n"/>
      <c r="AY156" s="3" t="n"/>
    </row>
    <row r="157">
      <c r="A157" s="3" t="inlineStr">
        <is>
          <t>Paldean Tauros - 111/091</t>
        </is>
      </c>
      <c r="B157" s="3" t="inlineStr">
        <is>
          <t>shiny rare</t>
        </is>
      </c>
      <c r="C157" s="3" t="n">
        <v>472</v>
      </c>
      <c r="D157" s="3" t="n">
        <v>2.23</v>
      </c>
      <c r="E157" s="3" t="inlineStr"/>
      <c r="F157" s="3">
        <f>IF(B157="common", 4, IF(B157="uncommon", 3, IF(B157="rare", 0.73878,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>
        <f>E157 *1.88541666666666</f>
        <v/>
      </c>
      <c r="AB157" s="3">
        <f>1.88541666666666 * (E157 - AA157)^2</f>
        <v/>
      </c>
      <c r="AC157" s="3" t="n"/>
      <c r="AD157" s="3" t="n"/>
      <c r="AJ157" s="3" t="n"/>
      <c r="AK157" s="3" t="n"/>
      <c r="AL157" s="3" t="n"/>
      <c r="AM157" s="3" t="n"/>
      <c r="AN157" s="3" t="n"/>
      <c r="AT157" s="3" t="n"/>
      <c r="AU157" s="3" t="n"/>
      <c r="AV157" s="3" t="n"/>
      <c r="AW157" s="3" t="n"/>
      <c r="AX157" s="3" t="n"/>
      <c r="AY157" s="3" t="n"/>
    </row>
    <row r="158">
      <c r="A158" s="3" t="inlineStr">
        <is>
          <t>Paldean Tauros - 120/091</t>
        </is>
      </c>
      <c r="B158" s="3" t="inlineStr">
        <is>
          <t>shiny rare</t>
        </is>
      </c>
      <c r="C158" s="3" t="n">
        <v>472</v>
      </c>
      <c r="D158" s="3" t="n">
        <v>2.52</v>
      </c>
      <c r="E158" s="3" t="inlineStr"/>
      <c r="F158" s="3">
        <f>IF(B158="common", 4, IF(B158="uncommon", 3, IF(B158="rare", 0.73878,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>
        <f>E158 *1.88541666666666</f>
        <v/>
      </c>
      <c r="AB158" s="3">
        <f>1.88541666666666 * (E158 - AA158)^2</f>
        <v/>
      </c>
      <c r="AC158" s="3" t="n"/>
      <c r="AD158" s="3" t="n"/>
      <c r="AJ158" s="3" t="n"/>
      <c r="AK158" s="3" t="n"/>
      <c r="AL158" s="3" t="n"/>
      <c r="AM158" s="3" t="n"/>
      <c r="AN158" s="3" t="n"/>
      <c r="AT158" s="3" t="n"/>
      <c r="AU158" s="3" t="n"/>
      <c r="AV158" s="3" t="n"/>
      <c r="AW158" s="3" t="n"/>
      <c r="AX158" s="3" t="n"/>
      <c r="AY158" s="3" t="n"/>
    </row>
    <row r="159">
      <c r="A159" s="3" t="inlineStr">
        <is>
          <t>Paldean Tauros - 172/091</t>
        </is>
      </c>
      <c r="B159" s="3" t="inlineStr">
        <is>
          <t>shiny rare</t>
        </is>
      </c>
      <c r="C159" s="3" t="n">
        <v>472</v>
      </c>
      <c r="D159" s="3" t="n">
        <v>2.07</v>
      </c>
      <c r="E159" s="3" t="inlineStr"/>
      <c r="F159" s="3">
        <f>IF(B159="common", 4, IF(B159="uncommon", 3, IF(B159="rare", 0.73878,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>
        <f>E159 *1.88541666666666</f>
        <v/>
      </c>
      <c r="AB159" s="3">
        <f>1.88541666666666 * (E159 - AA159)^2</f>
        <v/>
      </c>
      <c r="AC159" s="3" t="n"/>
      <c r="AD159" s="3" t="n"/>
      <c r="AJ159" s="3" t="n"/>
      <c r="AK159" s="3" t="n"/>
      <c r="AL159" s="3" t="n"/>
      <c r="AM159" s="3" t="n"/>
      <c r="AN159" s="3" t="n"/>
      <c r="AT159" s="3" t="n"/>
      <c r="AU159" s="3" t="n"/>
      <c r="AV159" s="3" t="n"/>
      <c r="AW159" s="3" t="n"/>
      <c r="AX159" s="3" t="n"/>
      <c r="AY159" s="3" t="n"/>
    </row>
    <row r="160">
      <c r="A160" s="3" t="inlineStr">
        <is>
          <t>Paldean Wooper - 058/091</t>
        </is>
      </c>
      <c r="B160" s="3" t="inlineStr">
        <is>
          <t>common</t>
        </is>
      </c>
      <c r="C160" s="3" t="n">
        <v>40</v>
      </c>
      <c r="D160" s="3" t="n">
        <v>0.08</v>
      </c>
      <c r="E160" s="3" t="n">
        <v>0.15</v>
      </c>
      <c r="F160" s="3">
        <f>IF(B160="common", 4, IF(B160="uncommon", 3, IF(B160="rare", 0.73878,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>
        <f>E160 *1.88541666666666</f>
        <v/>
      </c>
      <c r="AB160" s="3">
        <f>1.88541666666666 * (E160 - AA160)^2</f>
        <v/>
      </c>
      <c r="AC160" s="3" t="n"/>
      <c r="AD160" s="3" t="n"/>
      <c r="AJ160" s="3" t="n"/>
      <c r="AK160" s="3" t="n"/>
      <c r="AL160" s="3" t="n"/>
      <c r="AM160" s="3" t="n"/>
      <c r="AN160" s="3" t="n"/>
      <c r="AT160" s="3" t="n"/>
      <c r="AU160" s="3" t="n"/>
      <c r="AV160" s="3" t="n"/>
      <c r="AW160" s="3" t="n"/>
      <c r="AX160" s="3" t="n"/>
      <c r="AY160" s="3" t="n"/>
    </row>
    <row r="161">
      <c r="A161" s="3" t="inlineStr">
        <is>
          <t>Paldean Wooper - 180/091</t>
        </is>
      </c>
      <c r="B161" s="3" t="inlineStr">
        <is>
          <t>shiny rare</t>
        </is>
      </c>
      <c r="C161" s="3" t="n">
        <v>472</v>
      </c>
      <c r="D161" s="3" t="n">
        <v>5.43</v>
      </c>
      <c r="E161" s="3" t="inlineStr"/>
      <c r="F161" s="3">
        <f>IF(B161="common", 4, IF(B161="uncommon", 3, IF(B161="rare", 0.73878,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>
        <f>E161 *1.88541666666666</f>
        <v/>
      </c>
      <c r="AB161" s="3">
        <f>1.88541666666666 * (E161 - AA161)^2</f>
        <v/>
      </c>
      <c r="AC161" s="3" t="n"/>
      <c r="AD161" s="3" t="n"/>
      <c r="AJ161" s="3" t="n"/>
      <c r="AK161" s="3" t="n"/>
      <c r="AL161" s="3" t="n"/>
      <c r="AM161" s="3" t="n"/>
      <c r="AN161" s="3" t="n"/>
      <c r="AT161" s="3" t="n"/>
      <c r="AU161" s="3" t="n"/>
      <c r="AV161" s="3" t="n"/>
      <c r="AW161" s="3" t="n"/>
      <c r="AX161" s="3" t="n"/>
      <c r="AY161" s="3" t="n"/>
    </row>
    <row r="162">
      <c r="A162" s="3" t="inlineStr">
        <is>
          <t>Pawmi - 142/091</t>
        </is>
      </c>
      <c r="B162" s="3" t="inlineStr">
        <is>
          <t>shiny rare</t>
        </is>
      </c>
      <c r="C162" s="3" t="n">
        <v>472</v>
      </c>
      <c r="D162" s="3" t="n">
        <v>2.75</v>
      </c>
      <c r="E162" s="3" t="inlineStr"/>
      <c r="F162" s="3">
        <f>IF(B162="common", 4, IF(B162="uncommon", 3, IF(B162="rare", 0.73878,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>
        <f>E162 *1.88541666666666</f>
        <v/>
      </c>
      <c r="AB162" s="3">
        <f>1.88541666666666 * (E162 - AA162)^2</f>
        <v/>
      </c>
      <c r="AC162" s="3" t="n"/>
      <c r="AD162" s="3" t="n"/>
      <c r="AJ162" s="3" t="n"/>
      <c r="AK162" s="3" t="n"/>
      <c r="AL162" s="3" t="n"/>
      <c r="AM162" s="3" t="n"/>
      <c r="AN162" s="3" t="n"/>
      <c r="AT162" s="3" t="n"/>
      <c r="AU162" s="3" t="n"/>
      <c r="AV162" s="3" t="n"/>
      <c r="AW162" s="3" t="n"/>
      <c r="AX162" s="3" t="n"/>
      <c r="AY162" s="3" t="n"/>
    </row>
    <row r="163">
      <c r="A163" s="3" t="inlineStr">
        <is>
          <t>Pawmi - 226/091</t>
        </is>
      </c>
      <c r="B163" s="3" t="inlineStr">
        <is>
          <t>illustration rare</t>
        </is>
      </c>
      <c r="C163" s="3" t="n">
        <v>42</v>
      </c>
      <c r="D163" s="3" t="n">
        <v>1.26</v>
      </c>
      <c r="E163" s="3" t="inlineStr"/>
      <c r="F163" s="3">
        <f>IF(B163="common", 4, IF(B163="uncommon", 3, IF(B163="rare", 0.73878,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>
        <f>E163 *1.88541666666666</f>
        <v/>
      </c>
      <c r="AB163" s="3">
        <f>1.88541666666666 * (E163 - AA163)^2</f>
        <v/>
      </c>
      <c r="AC163" s="3" t="n"/>
      <c r="AD163" s="3" t="n"/>
      <c r="AJ163" s="3" t="n"/>
      <c r="AK163" s="3" t="n"/>
      <c r="AL163" s="3" t="n"/>
      <c r="AM163" s="3" t="n"/>
      <c r="AN163" s="3" t="n"/>
      <c r="AT163" s="3" t="n"/>
      <c r="AU163" s="3" t="n"/>
      <c r="AV163" s="3" t="n"/>
      <c r="AW163" s="3" t="n"/>
      <c r="AX163" s="3" t="n"/>
      <c r="AY163" s="3" t="n"/>
    </row>
    <row r="164">
      <c r="A164" s="3" t="inlineStr">
        <is>
          <t>Pawmo</t>
        </is>
      </c>
      <c r="B164" s="3" t="inlineStr">
        <is>
          <t>shiny rare</t>
        </is>
      </c>
      <c r="C164" s="3" t="n">
        <v>472</v>
      </c>
      <c r="D164" s="3" t="n">
        <v>2.87</v>
      </c>
      <c r="E164" s="3" t="inlineStr"/>
      <c r="F164" s="3">
        <f>IF(B164="common", 4, IF(B164="uncommon", 3, IF(B164="rare", 0.73878,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>
        <f>E164 *1.88541666666666</f>
        <v/>
      </c>
      <c r="AB164" s="3">
        <f>1.88541666666666 * (E164 - AA164)^2</f>
        <v/>
      </c>
      <c r="AC164" s="3" t="n"/>
      <c r="AD164" s="3" t="n"/>
      <c r="AJ164" s="3" t="n"/>
      <c r="AK164" s="3" t="n"/>
      <c r="AL164" s="3" t="n"/>
      <c r="AM164" s="3" t="n"/>
      <c r="AN164" s="3" t="n"/>
      <c r="AT164" s="3" t="n"/>
      <c r="AU164" s="3" t="n"/>
      <c r="AV164" s="3" t="n"/>
      <c r="AW164" s="3" t="n"/>
      <c r="AX164" s="3" t="n"/>
      <c r="AY164" s="3" t="n"/>
    </row>
    <row r="165">
      <c r="A165" s="3" t="inlineStr">
        <is>
          <t>Pawmot</t>
        </is>
      </c>
      <c r="B165" s="3" t="inlineStr">
        <is>
          <t>shiny rare</t>
        </is>
      </c>
      <c r="C165" s="3" t="n">
        <v>472</v>
      </c>
      <c r="D165" s="3" t="n">
        <v>2.4</v>
      </c>
      <c r="E165" s="3" t="inlineStr"/>
      <c r="F165" s="3">
        <f>IF(B165="common", 4, IF(B165="uncommon", 3, IF(B165="rare", 0.73878,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>
        <f>E165 *1.88541666666666</f>
        <v/>
      </c>
      <c r="AB165" s="3">
        <f>1.88541666666666 * (E165 - AA165)^2</f>
        <v/>
      </c>
      <c r="AC165" s="3" t="n"/>
      <c r="AD165" s="3" t="n"/>
      <c r="AJ165" s="3" t="n"/>
      <c r="AK165" s="3" t="n"/>
      <c r="AL165" s="3" t="n"/>
      <c r="AM165" s="3" t="n"/>
      <c r="AN165" s="3" t="n"/>
      <c r="AT165" s="3" t="n"/>
      <c r="AU165" s="3" t="n"/>
      <c r="AV165" s="3" t="n"/>
      <c r="AW165" s="3" t="n"/>
      <c r="AX165" s="3" t="n"/>
      <c r="AY165" s="3" t="n"/>
    </row>
    <row r="166">
      <c r="A166" s="3" t="inlineStr">
        <is>
          <t>Pawniard</t>
        </is>
      </c>
      <c r="B166" s="3" t="inlineStr">
        <is>
          <t>shiny rare</t>
        </is>
      </c>
      <c r="C166" s="3" t="n">
        <v>472</v>
      </c>
      <c r="D166" s="3" t="n">
        <v>2.02</v>
      </c>
      <c r="E166" s="3" t="inlineStr"/>
      <c r="F166" s="3">
        <f>IF(B166="common", 4, IF(B166="uncommon", 3, IF(B166="rare", 0.73878,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>
        <f>E166 *1.88541666666666</f>
        <v/>
      </c>
      <c r="AB166" s="3">
        <f>1.88541666666666 * (E166 - AA166)^2</f>
        <v/>
      </c>
      <c r="AC166" s="3" t="n"/>
      <c r="AD166" s="3" t="n"/>
      <c r="AJ166" s="3" t="n"/>
      <c r="AK166" s="3" t="n"/>
      <c r="AL166" s="3" t="n"/>
      <c r="AM166" s="3" t="n"/>
      <c r="AN166" s="3" t="n"/>
      <c r="AT166" s="3" t="n"/>
      <c r="AU166" s="3" t="n"/>
      <c r="AV166" s="3" t="n"/>
      <c r="AW166" s="3" t="n"/>
      <c r="AX166" s="3" t="n"/>
      <c r="AY166" s="3" t="n"/>
    </row>
    <row r="167">
      <c r="A167" s="3" t="inlineStr">
        <is>
          <t>Pelipper</t>
        </is>
      </c>
      <c r="B167" s="3" t="inlineStr">
        <is>
          <t>shiny rare</t>
        </is>
      </c>
      <c r="C167" s="3" t="n">
        <v>472</v>
      </c>
      <c r="D167" s="3" t="n">
        <v>1.91</v>
      </c>
      <c r="E167" s="3" t="inlineStr"/>
      <c r="F167" s="3">
        <f>IF(B167="common", 4, IF(B167="uncommon", 3, IF(B167="rare", 0.73878,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>
        <f>E167 *1.88541666666666</f>
        <v/>
      </c>
      <c r="AB167" s="3">
        <f>1.88541666666666 * (E167 - AA167)^2</f>
        <v/>
      </c>
      <c r="AC167" s="3" t="n"/>
      <c r="AD167" s="3" t="n"/>
      <c r="AJ167" s="3" t="n"/>
      <c r="AK167" s="3" t="n"/>
      <c r="AL167" s="3" t="n"/>
      <c r="AM167" s="3" t="n"/>
      <c r="AN167" s="3" t="n"/>
      <c r="AT167" s="3" t="n"/>
      <c r="AU167" s="3" t="n"/>
      <c r="AV167" s="3" t="n"/>
      <c r="AW167" s="3" t="n"/>
      <c r="AX167" s="3" t="n"/>
      <c r="AY167" s="3" t="n"/>
    </row>
    <row r="168">
      <c r="A168" s="3" t="inlineStr">
        <is>
          <t>Penny</t>
        </is>
      </c>
      <c r="B168" s="3" t="inlineStr">
        <is>
          <t>special illustration rare</t>
        </is>
      </c>
      <c r="C168" s="3" t="n">
        <v>465</v>
      </c>
      <c r="D168" s="3" t="n">
        <v>19.49</v>
      </c>
      <c r="E168" s="3" t="inlineStr"/>
      <c r="F168" s="3">
        <f>IF(B168="common", 4, IF(B168="uncommon", 3, IF(B168="rare", 0.73878,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>
        <f>E168 *1.88541666666666</f>
        <v/>
      </c>
      <c r="AB168" s="3">
        <f>1.88541666666666 * (E168 - AA168)^2</f>
        <v/>
      </c>
      <c r="AC168" s="3" t="n"/>
      <c r="AD168" s="3" t="n"/>
      <c r="AJ168" s="3" t="n"/>
      <c r="AK168" s="3" t="n"/>
      <c r="AL168" s="3" t="n"/>
      <c r="AM168" s="3" t="n"/>
      <c r="AN168" s="3" t="n"/>
      <c r="AT168" s="3" t="n"/>
      <c r="AU168" s="3" t="n"/>
      <c r="AV168" s="3" t="n"/>
      <c r="AW168" s="3" t="n"/>
      <c r="AX168" s="3" t="n"/>
      <c r="AY168" s="3" t="n"/>
    </row>
    <row r="169">
      <c r="A169" s="3" t="inlineStr">
        <is>
          <t>Phanpy</t>
        </is>
      </c>
      <c r="B169" s="3" t="inlineStr">
        <is>
          <t>common</t>
        </is>
      </c>
      <c r="C169" s="3" t="n">
        <v>40</v>
      </c>
      <c r="D169" s="3" t="n">
        <v>0.08</v>
      </c>
      <c r="E169" s="3" t="n">
        <v>0.13</v>
      </c>
      <c r="F169" s="3">
        <f>IF(B169="common", 4, IF(B169="uncommon", 3, IF(B169="rare", 0.73878,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>
        <f>E169 *1.88541666666666</f>
        <v/>
      </c>
      <c r="AB169" s="3">
        <f>1.88541666666666 * (E169 - AA169)^2</f>
        <v/>
      </c>
      <c r="AC169" s="3" t="n"/>
      <c r="AD169" s="3" t="n"/>
      <c r="AJ169" s="3" t="n"/>
      <c r="AK169" s="3" t="n"/>
      <c r="AL169" s="3" t="n"/>
      <c r="AM169" s="3" t="n"/>
      <c r="AN169" s="3" t="n"/>
      <c r="AT169" s="3" t="n"/>
      <c r="AU169" s="3" t="n"/>
      <c r="AV169" s="3" t="n"/>
      <c r="AW169" s="3" t="n"/>
      <c r="AX169" s="3" t="n"/>
      <c r="AY169" s="3" t="n"/>
    </row>
    <row r="170">
      <c r="A170" s="3" t="inlineStr">
        <is>
          <t>Pidgeot ex</t>
        </is>
      </c>
      <c r="B170" s="3" t="inlineStr">
        <is>
          <t>shiny ultra rare</t>
        </is>
      </c>
      <c r="C170" s="3" t="n">
        <v>155</v>
      </c>
      <c r="D170" s="3" t="n">
        <v>4.09</v>
      </c>
      <c r="E170" s="3" t="inlineStr"/>
      <c r="F170" s="3">
        <f>IF(B170="common", 4, IF(B170="uncommon", 3, IF(B170="rare", 0.73878,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>
        <f>E170 *1.88541666666666</f>
        <v/>
      </c>
      <c r="AB170" s="3">
        <f>1.88541666666666 * (E170 - AA170)^2</f>
        <v/>
      </c>
      <c r="AC170" s="3" t="n"/>
      <c r="AD170" s="3" t="n"/>
      <c r="AJ170" s="3" t="n"/>
      <c r="AK170" s="3" t="n"/>
      <c r="AL170" s="3" t="n"/>
      <c r="AM170" s="3" t="n"/>
      <c r="AN170" s="3" t="n"/>
      <c r="AT170" s="3" t="n"/>
      <c r="AU170" s="3" t="n"/>
      <c r="AV170" s="3" t="n"/>
      <c r="AW170" s="3" t="n"/>
      <c r="AX170" s="3" t="n"/>
      <c r="AY170" s="3" t="n"/>
    </row>
    <row r="171">
      <c r="A171" s="3" t="inlineStr">
        <is>
          <t>Pidgeotto</t>
        </is>
      </c>
      <c r="B171" s="3" t="inlineStr">
        <is>
          <t>shiny rare</t>
        </is>
      </c>
      <c r="C171" s="3" t="n">
        <v>472</v>
      </c>
      <c r="D171" s="3" t="n">
        <v>6.26</v>
      </c>
      <c r="E171" s="3" t="inlineStr"/>
      <c r="F171" s="3">
        <f>IF(B171="common", 4, IF(B171="uncommon", 3, IF(B171="rare", 0.73878,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>
        <f>E171 *1.88541666666666</f>
        <v/>
      </c>
      <c r="AB171" s="3">
        <f>1.88541666666666 * (E171 - AA171)^2</f>
        <v/>
      </c>
      <c r="AC171" s="3" t="n"/>
      <c r="AD171" s="3" t="n"/>
      <c r="AJ171" s="3" t="n"/>
      <c r="AK171" s="3" t="n"/>
      <c r="AL171" s="3" t="n"/>
      <c r="AM171" s="3" t="n"/>
      <c r="AN171" s="3" t="n"/>
      <c r="AT171" s="3" t="n"/>
      <c r="AU171" s="3" t="n"/>
      <c r="AV171" s="3" t="n"/>
      <c r="AW171" s="3" t="n"/>
      <c r="AX171" s="3" t="n"/>
      <c r="AY171" s="3" t="n"/>
    </row>
    <row r="172">
      <c r="A172" s="3" t="inlineStr">
        <is>
          <t>Pidgey</t>
        </is>
      </c>
      <c r="B172" s="3" t="inlineStr">
        <is>
          <t>shiny rare</t>
        </is>
      </c>
      <c r="C172" s="3" t="n">
        <v>472</v>
      </c>
      <c r="D172" s="3" t="n">
        <v>7.61</v>
      </c>
      <c r="E172" s="3" t="inlineStr"/>
      <c r="F172" s="3">
        <f>IF(B172="common", 4, IF(B172="uncommon", 3, IF(B172="rare", 0.73878,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>
        <f>E172 *1.88541666666666</f>
        <v/>
      </c>
      <c r="AB172" s="3">
        <f>1.88541666666666 * (E172 - AA172)^2</f>
        <v/>
      </c>
      <c r="AC172" s="3" t="n"/>
      <c r="AD172" s="3" t="n"/>
      <c r="AJ172" s="3" t="n"/>
      <c r="AK172" s="3" t="n"/>
      <c r="AL172" s="3" t="n"/>
      <c r="AM172" s="3" t="n"/>
      <c r="AN172" s="3" t="n"/>
      <c r="AT172" s="3" t="n"/>
      <c r="AU172" s="3" t="n"/>
      <c r="AV172" s="3" t="n"/>
      <c r="AW172" s="3" t="n"/>
      <c r="AX172" s="3" t="n"/>
      <c r="AY172" s="3" t="n"/>
    </row>
    <row r="173">
      <c r="A173" s="3" t="inlineStr">
        <is>
          <t>Pikachu - 018/091</t>
        </is>
      </c>
      <c r="B173" s="3" t="inlineStr">
        <is>
          <t>common</t>
        </is>
      </c>
      <c r="C173" s="3" t="n">
        <v>40</v>
      </c>
      <c r="D173" s="3" t="n">
        <v>0.13</v>
      </c>
      <c r="E173" s="3" t="n">
        <v>0.3</v>
      </c>
      <c r="F173" s="3">
        <f>IF(B173="common", 4, IF(B173="uncommon", 3, IF(B173="rare", 0.73878,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>
        <f>E173 *1.88541666666666</f>
        <v/>
      </c>
      <c r="AB173" s="3">
        <f>1.88541666666666 * (E173 - AA173)^2</f>
        <v/>
      </c>
      <c r="AC173" s="3" t="n"/>
      <c r="AD173" s="3" t="n"/>
      <c r="AJ173" s="3" t="n"/>
      <c r="AK173" s="3" t="n"/>
      <c r="AL173" s="3" t="n"/>
      <c r="AM173" s="3" t="n"/>
      <c r="AN173" s="3" t="n"/>
      <c r="AT173" s="3" t="n"/>
      <c r="AU173" s="3" t="n"/>
      <c r="AV173" s="3" t="n"/>
      <c r="AW173" s="3" t="n"/>
      <c r="AX173" s="3" t="n"/>
      <c r="AY173" s="3" t="n"/>
    </row>
    <row r="174">
      <c r="A174" s="3" t="inlineStr">
        <is>
          <t>Pikachu - 131/091</t>
        </is>
      </c>
      <c r="B174" s="3" t="inlineStr">
        <is>
          <t>shiny rare</t>
        </is>
      </c>
      <c r="C174" s="3" t="n">
        <v>472</v>
      </c>
      <c r="D174" s="3" t="n">
        <v>36.89</v>
      </c>
      <c r="E174" s="3" t="inlineStr"/>
      <c r="F174" s="3">
        <f>IF(B174="common", 4, IF(B174="uncommon", 3, IF(B174="rare", 0.73878,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>
        <f>E174 *1.88541666666666</f>
        <v/>
      </c>
      <c r="AB174" s="3">
        <f>1.88541666666666 * (E174 - AA174)^2</f>
        <v/>
      </c>
      <c r="AC174" s="3" t="n"/>
      <c r="AD174" s="3" t="n"/>
      <c r="AJ174" s="3" t="n"/>
      <c r="AK174" s="3" t="n"/>
      <c r="AL174" s="3" t="n"/>
      <c r="AM174" s="3" t="n"/>
      <c r="AN174" s="3" t="n"/>
      <c r="AT174" s="3" t="n"/>
      <c r="AU174" s="3" t="n"/>
      <c r="AV174" s="3" t="n"/>
      <c r="AW174" s="3" t="n"/>
      <c r="AX174" s="3" t="n"/>
      <c r="AY174" s="3" t="n"/>
    </row>
    <row r="175">
      <c r="A175" s="3" t="inlineStr">
        <is>
          <t>Pineco - 001/091</t>
        </is>
      </c>
      <c r="B175" s="3" t="inlineStr">
        <is>
          <t>common</t>
        </is>
      </c>
      <c r="C175" s="3" t="n">
        <v>40</v>
      </c>
      <c r="D175" s="3" t="n">
        <v>0.07000000000000001</v>
      </c>
      <c r="E175" s="3" t="n">
        <v>0.1</v>
      </c>
      <c r="F175" s="3">
        <f>IF(B175="common", 4, IF(B175="uncommon", 3, IF(B175="rare", 0.73878,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>
        <f>E175 *1.88541666666666</f>
        <v/>
      </c>
      <c r="AB175" s="3">
        <f>1.88541666666666 * (E175 - AA175)^2</f>
        <v/>
      </c>
      <c r="AC175" s="3" t="n"/>
      <c r="AD175" s="3" t="n"/>
      <c r="AJ175" s="3" t="n"/>
      <c r="AK175" s="3" t="n"/>
      <c r="AL175" s="3" t="n"/>
      <c r="AM175" s="3" t="n"/>
      <c r="AN175" s="3" t="n"/>
      <c r="AT175" s="3" t="n"/>
      <c r="AU175" s="3" t="n"/>
      <c r="AV175" s="3" t="n"/>
      <c r="AW175" s="3" t="n"/>
      <c r="AX175" s="3" t="n"/>
      <c r="AY175" s="3" t="n"/>
    </row>
    <row r="176">
      <c r="A176" s="3" t="inlineStr">
        <is>
          <t>Pineco - 099/091</t>
        </is>
      </c>
      <c r="B176" s="3" t="inlineStr">
        <is>
          <t>shiny rare</t>
        </is>
      </c>
      <c r="C176" s="3" t="n">
        <v>472</v>
      </c>
      <c r="D176" s="3" t="n">
        <v>2.12</v>
      </c>
      <c r="E176" s="3" t="inlineStr"/>
      <c r="F176" s="3">
        <f>IF(B176="common", 4, IF(B176="uncommon", 3, IF(B176="rare", 0.73878,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>
        <f>E176 *1.88541666666666</f>
        <v/>
      </c>
      <c r="AB176" s="3">
        <f>1.88541666666666 * (E176 - AA176)^2</f>
        <v/>
      </c>
      <c r="AC176" s="3" t="n"/>
      <c r="AD176" s="3" t="n"/>
      <c r="AJ176" s="3" t="n"/>
      <c r="AK176" s="3" t="n"/>
      <c r="AL176" s="3" t="n"/>
      <c r="AM176" s="3" t="n"/>
      <c r="AN176" s="3" t="n"/>
      <c r="AT176" s="3" t="n"/>
      <c r="AU176" s="3" t="n"/>
      <c r="AV176" s="3" t="n"/>
      <c r="AW176" s="3" t="n"/>
      <c r="AX176" s="3" t="n"/>
      <c r="AY176" s="3" t="n"/>
    </row>
    <row r="177">
      <c r="A177" s="3" t="inlineStr">
        <is>
          <t>Primeape - 046/091</t>
        </is>
      </c>
      <c r="B177" s="3" t="inlineStr">
        <is>
          <t>uncommon</t>
        </is>
      </c>
      <c r="C177" s="3" t="n">
        <v>25</v>
      </c>
      <c r="D177" s="3" t="n">
        <v>0.04</v>
      </c>
      <c r="E177" s="3" t="n">
        <v>0.16</v>
      </c>
      <c r="F177" s="3">
        <f>IF(B177="common", 4, IF(B177="uncommon", 3, IF(B177="rare", 0.73878,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>
        <f>E177 *1.88541666666666</f>
        <v/>
      </c>
      <c r="AB177" s="3">
        <f>1.88541666666666 * (E177 - AA177)^2</f>
        <v/>
      </c>
      <c r="AC177" s="3" t="n"/>
      <c r="AD177" s="3" t="n"/>
      <c r="AJ177" s="3" t="n"/>
      <c r="AK177" s="3" t="n"/>
      <c r="AL177" s="3" t="n"/>
      <c r="AM177" s="3" t="n"/>
      <c r="AN177" s="3" t="n"/>
      <c r="AT177" s="3" t="n"/>
      <c r="AU177" s="3" t="n"/>
      <c r="AV177" s="3" t="n"/>
      <c r="AW177" s="3" t="n"/>
      <c r="AX177" s="3" t="n"/>
      <c r="AY177" s="3" t="n"/>
    </row>
    <row r="178">
      <c r="A178" s="3" t="inlineStr">
        <is>
          <t>Primeape - 170/091</t>
        </is>
      </c>
      <c r="B178" s="3" t="inlineStr">
        <is>
          <t>shiny rare</t>
        </is>
      </c>
      <c r="C178" s="3" t="n">
        <v>472</v>
      </c>
      <c r="D178" s="3" t="n">
        <v>3.37</v>
      </c>
      <c r="E178" s="3" t="inlineStr"/>
      <c r="F178" s="3">
        <f>IF(B178="common", 4, IF(B178="uncommon", 3, IF(B178="rare", 0.73878,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>
        <f>E178 *1.88541666666666</f>
        <v/>
      </c>
      <c r="AB178" s="3">
        <f>1.88541666666666 * (E178 - AA178)^2</f>
        <v/>
      </c>
      <c r="AC178" s="3" t="n"/>
      <c r="AD178" s="3" t="n"/>
      <c r="AJ178" s="3" t="n"/>
      <c r="AK178" s="3" t="n"/>
      <c r="AL178" s="3" t="n"/>
      <c r="AM178" s="3" t="n"/>
      <c r="AN178" s="3" t="n"/>
      <c r="AT178" s="3" t="n"/>
      <c r="AU178" s="3" t="n"/>
      <c r="AV178" s="3" t="n"/>
      <c r="AW178" s="3" t="n"/>
      <c r="AX178" s="3" t="n"/>
      <c r="AY178" s="3" t="n"/>
    </row>
    <row r="179">
      <c r="A179" s="3" t="inlineStr">
        <is>
          <t>Professor's Research - 087/091</t>
        </is>
      </c>
      <c r="B179" s="3" t="inlineStr">
        <is>
          <t>rare</t>
        </is>
      </c>
      <c r="C179" s="3" t="n">
        <v>16</v>
      </c>
      <c r="D179" s="3" t="n">
        <v>0.06</v>
      </c>
      <c r="E179" s="3" t="n">
        <v>0.14</v>
      </c>
      <c r="F179" s="3">
        <f>IF(B179="common", 4, IF(B179="uncommon", 3, IF(B179="rare", 0.73878,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>
        <f>E179 *1.88541666666666</f>
        <v/>
      </c>
      <c r="AB179" s="3">
        <f>1.88541666666666 * (E179 - AA179)^2</f>
        <v/>
      </c>
      <c r="AC179" s="3" t="n"/>
      <c r="AD179" s="3" t="n"/>
      <c r="AJ179" s="3" t="n"/>
      <c r="AK179" s="3" t="n"/>
      <c r="AL179" s="3" t="n"/>
      <c r="AM179" s="3" t="n"/>
      <c r="AN179" s="3" t="n"/>
      <c r="AT179" s="3" t="n"/>
      <c r="AU179" s="3" t="n"/>
      <c r="AV179" s="3" t="n"/>
      <c r="AW179" s="3" t="n"/>
      <c r="AX179" s="3" t="n"/>
      <c r="AY179" s="3" t="n"/>
    </row>
    <row r="180">
      <c r="A180" s="3" t="inlineStr">
        <is>
          <t>Professor's Research - 088/091</t>
        </is>
      </c>
      <c r="B180" s="3" t="inlineStr">
        <is>
          <t>rare</t>
        </is>
      </c>
      <c r="C180" s="3" t="n">
        <v>16</v>
      </c>
      <c r="D180" s="3" t="n">
        <v>0.11</v>
      </c>
      <c r="E180" s="3" t="n">
        <v>0.2</v>
      </c>
      <c r="F180" s="3">
        <f>IF(B180="common", 4, IF(B180="uncommon", 3, IF(B180="rare", 0.73878,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>
        <f>E180 *1.88541666666666</f>
        <v/>
      </c>
      <c r="AB180" s="3">
        <f>1.88541666666666 * (E180 - AA180)^2</f>
        <v/>
      </c>
      <c r="AC180" s="3" t="n"/>
      <c r="AD180" s="3" t="n"/>
      <c r="AJ180" s="3" t="n"/>
      <c r="AK180" s="3" t="n"/>
      <c r="AL180" s="3" t="n"/>
      <c r="AM180" s="3" t="n"/>
      <c r="AN180" s="3" t="n"/>
      <c r="AT180" s="3" t="n"/>
      <c r="AU180" s="3" t="n"/>
      <c r="AV180" s="3" t="n"/>
      <c r="AW180" s="3" t="n"/>
      <c r="AX180" s="3" t="n"/>
      <c r="AY180" s="3" t="n"/>
    </row>
    <row r="181">
      <c r="A181" s="3" t="inlineStr">
        <is>
          <t>Rabsca</t>
        </is>
      </c>
      <c r="B181" s="3" t="inlineStr">
        <is>
          <t>shiny rare</t>
        </is>
      </c>
      <c r="C181" s="3" t="n">
        <v>472</v>
      </c>
      <c r="D181" s="3" t="n">
        <v>1.48</v>
      </c>
      <c r="E181" s="3" t="inlineStr"/>
      <c r="F181" s="3">
        <f>IF(B181="common", 4, IF(B181="uncommon", 3, IF(B181="rare", 0.73878,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>
        <f>E181 *1.88541666666666</f>
        <v/>
      </c>
      <c r="AB181" s="3">
        <f>1.88541666666666 * (E181 - AA181)^2</f>
        <v/>
      </c>
      <c r="AC181" s="3" t="n"/>
      <c r="AD181" s="3" t="n"/>
      <c r="AJ181" s="3" t="n"/>
      <c r="AK181" s="3" t="n"/>
      <c r="AL181" s="3" t="n"/>
      <c r="AM181" s="3" t="n"/>
      <c r="AN181" s="3" t="n"/>
      <c r="AT181" s="3" t="n"/>
      <c r="AU181" s="3" t="n"/>
      <c r="AV181" s="3" t="n"/>
      <c r="AW181" s="3" t="n"/>
      <c r="AX181" s="3" t="n"/>
      <c r="AY181" s="3" t="n"/>
    </row>
    <row r="182">
      <c r="A182" s="3" t="inlineStr">
        <is>
          <t>Raichu - 019/091</t>
        </is>
      </c>
      <c r="B182" s="3" t="inlineStr">
        <is>
          <t>rare</t>
        </is>
      </c>
      <c r="C182" s="3" t="n">
        <v>16</v>
      </c>
      <c r="D182" s="3" t="n">
        <v>0.11</v>
      </c>
      <c r="E182" s="3" t="n">
        <v>0.17</v>
      </c>
      <c r="F182" s="3">
        <f>IF(B182="common", 4, IF(B182="uncommon", 3, IF(B182="rare", 0.73878,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>
        <f>E182 *1.88541666666666</f>
        <v/>
      </c>
      <c r="AB182" s="3">
        <f>1.88541666666666 * (E182 - AA182)^2</f>
        <v/>
      </c>
      <c r="AC182" s="3" t="n"/>
      <c r="AD182" s="3" t="n"/>
      <c r="AJ182" s="3" t="n"/>
      <c r="AK182" s="3" t="n"/>
      <c r="AL182" s="3" t="n"/>
      <c r="AM182" s="3" t="n"/>
      <c r="AN182" s="3" t="n"/>
      <c r="AT182" s="3" t="n"/>
      <c r="AU182" s="3" t="n"/>
      <c r="AV182" s="3" t="n"/>
      <c r="AW182" s="3" t="n"/>
      <c r="AX182" s="3" t="n"/>
      <c r="AY182" s="3" t="n"/>
    </row>
    <row r="183">
      <c r="A183" s="3" t="inlineStr">
        <is>
          <t>Raichu - 132/091</t>
        </is>
      </c>
      <c r="B183" s="3" t="inlineStr">
        <is>
          <t>shiny rare</t>
        </is>
      </c>
      <c r="C183" s="3" t="n">
        <v>472</v>
      </c>
      <c r="D183" s="3" t="n">
        <v>10.06</v>
      </c>
      <c r="E183" s="3" t="inlineStr"/>
      <c r="F183" s="3">
        <f>IF(B183="common", 4, IF(B183="uncommon", 3, IF(B183="rare", 0.73878,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>
        <f>E183 *1.88541666666666</f>
        <v/>
      </c>
      <c r="AB183" s="3">
        <f>1.88541666666666 * (E183 - AA183)^2</f>
        <v/>
      </c>
      <c r="AC183" s="3" t="n"/>
      <c r="AD183" s="3" t="n"/>
      <c r="AJ183" s="3" t="n"/>
      <c r="AK183" s="3" t="n"/>
      <c r="AL183" s="3" t="n"/>
      <c r="AM183" s="3" t="n"/>
      <c r="AN183" s="3" t="n"/>
      <c r="AT183" s="3" t="n"/>
      <c r="AU183" s="3" t="n"/>
      <c r="AV183" s="3" t="n"/>
      <c r="AW183" s="3" t="n"/>
      <c r="AX183" s="3" t="n"/>
      <c r="AY183" s="3" t="n"/>
    </row>
    <row r="184">
      <c r="A184" s="3" t="inlineStr">
        <is>
          <t>Ralts - 027/091</t>
        </is>
      </c>
      <c r="B184" s="3" t="inlineStr">
        <is>
          <t>common</t>
        </is>
      </c>
      <c r="C184" s="3" t="n">
        <v>40</v>
      </c>
      <c r="D184" s="3" t="n">
        <v>0.16</v>
      </c>
      <c r="E184" s="3" t="n">
        <v>0.19</v>
      </c>
      <c r="F184" s="3">
        <f>IF(B184="common", 4, IF(B184="uncommon", 3, IF(B184="rare", 0.73878,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>
        <f>E184 *1.88541666666666</f>
        <v/>
      </c>
      <c r="AB184" s="3">
        <f>1.88541666666666 * (E184 - AA184)^2</f>
        <v/>
      </c>
      <c r="AC184" s="3" t="n"/>
      <c r="AD184" s="3" t="n"/>
      <c r="AJ184" s="3" t="n"/>
      <c r="AK184" s="3" t="n"/>
      <c r="AL184" s="3" t="n"/>
      <c r="AM184" s="3" t="n"/>
      <c r="AN184" s="3" t="n"/>
      <c r="AT184" s="3" t="n"/>
      <c r="AU184" s="3" t="n"/>
      <c r="AV184" s="3" t="n"/>
      <c r="AW184" s="3" t="n"/>
      <c r="AX184" s="3" t="n"/>
      <c r="AY184" s="3" t="n"/>
    </row>
    <row r="185">
      <c r="A185" s="3" t="inlineStr">
        <is>
          <t>Ralts - 153/091</t>
        </is>
      </c>
      <c r="B185" s="3" t="inlineStr">
        <is>
          <t>shiny rare</t>
        </is>
      </c>
      <c r="C185" s="3" t="n">
        <v>472</v>
      </c>
      <c r="D185" s="3" t="n">
        <v>8.029999999999999</v>
      </c>
      <c r="E185" s="3" t="inlineStr"/>
      <c r="F185" s="3">
        <f>IF(B185="common", 4, IF(B185="uncommon", 3, IF(B185="rare", 0.73878,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>
        <f>E185 *1.88541666666666</f>
        <v/>
      </c>
      <c r="AB185" s="3">
        <f>1.88541666666666 * (E185 - AA185)^2</f>
        <v/>
      </c>
      <c r="AC185" s="3" t="n"/>
      <c r="AD185" s="3" t="n"/>
      <c r="AJ185" s="3" t="n"/>
      <c r="AK185" s="3" t="n"/>
      <c r="AL185" s="3" t="n"/>
      <c r="AM185" s="3" t="n"/>
      <c r="AN185" s="3" t="n"/>
      <c r="AT185" s="3" t="n"/>
      <c r="AU185" s="3" t="n"/>
      <c r="AV185" s="3" t="n"/>
      <c r="AW185" s="3" t="n"/>
      <c r="AX185" s="3" t="n"/>
      <c r="AY185" s="3" t="n"/>
    </row>
    <row r="186">
      <c r="A186" s="3" t="inlineStr">
        <is>
          <t>Rare Candy</t>
        </is>
      </c>
      <c r="B186" s="3" t="inlineStr">
        <is>
          <t>common</t>
        </is>
      </c>
      <c r="C186" s="3" t="n">
        <v>40</v>
      </c>
      <c r="D186" s="3" t="n">
        <v>0.1</v>
      </c>
      <c r="E186" s="3" t="n">
        <v>0.22</v>
      </c>
      <c r="F186" s="3">
        <f>IF(B186="common", 4, IF(B186="uncommon", 3, IF(B186="rare", 0.73878,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>
        <f>E186 *1.88541666666666</f>
        <v/>
      </c>
      <c r="AB186" s="3">
        <f>1.88541666666666 * (E186 - AA186)^2</f>
        <v/>
      </c>
      <c r="AC186" s="3" t="n"/>
      <c r="AD186" s="3" t="n"/>
      <c r="AJ186" s="3" t="n"/>
      <c r="AK186" s="3" t="n"/>
      <c r="AL186" s="3" t="n"/>
      <c r="AM186" s="3" t="n"/>
      <c r="AN186" s="3" t="n"/>
      <c r="AT186" s="3" t="n"/>
      <c r="AU186" s="3" t="n"/>
      <c r="AV186" s="3" t="n"/>
      <c r="AW186" s="3" t="n"/>
      <c r="AX186" s="3" t="n"/>
      <c r="AY186" s="3" t="n"/>
    </row>
    <row r="187">
      <c r="A187" s="3" t="inlineStr">
        <is>
          <t>Rellor</t>
        </is>
      </c>
      <c r="B187" s="3" t="inlineStr">
        <is>
          <t>shiny rare</t>
        </is>
      </c>
      <c r="C187" s="3" t="n">
        <v>472</v>
      </c>
      <c r="D187" s="3" t="n">
        <v>1.47</v>
      </c>
      <c r="E187" s="3" t="inlineStr"/>
      <c r="F187" s="3">
        <f>IF(B187="common", 4, IF(B187="uncommon", 3, IF(B187="rare", 0.73878,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>
        <f>E187 *1.88541666666666</f>
        <v/>
      </c>
      <c r="AB187" s="3">
        <f>1.88541666666666 * (E187 - AA187)^2</f>
        <v/>
      </c>
      <c r="AC187" s="3" t="n"/>
      <c r="AD187" s="3" t="n"/>
      <c r="AJ187" s="3" t="n"/>
      <c r="AK187" s="3" t="n"/>
      <c r="AL187" s="3" t="n"/>
      <c r="AM187" s="3" t="n"/>
      <c r="AN187" s="3" t="n"/>
      <c r="AT187" s="3" t="n"/>
      <c r="AU187" s="3" t="n"/>
      <c r="AV187" s="3" t="n"/>
      <c r="AW187" s="3" t="n"/>
      <c r="AX187" s="3" t="n"/>
      <c r="AY187" s="3" t="n"/>
    </row>
    <row r="188">
      <c r="A188" s="3" t="inlineStr">
        <is>
          <t>Revavroom - 065/091</t>
        </is>
      </c>
      <c r="B188" s="3" t="inlineStr">
        <is>
          <t>rare</t>
        </is>
      </c>
      <c r="C188" s="3" t="n">
        <v>16</v>
      </c>
      <c r="D188" s="3" t="n">
        <v>0.14</v>
      </c>
      <c r="E188" s="3" t="n">
        <v>0.15</v>
      </c>
      <c r="F188" s="3">
        <f>IF(B188="common", 4, IF(B188="uncommon", 3, IF(B188="rare", 0.73878,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>
        <f>E188 *1.88541666666666</f>
        <v/>
      </c>
      <c r="AB188" s="3">
        <f>1.88541666666666 * (E188 - AA188)^2</f>
        <v/>
      </c>
      <c r="AC188" s="3" t="n"/>
      <c r="AD188" s="3" t="n"/>
      <c r="AJ188" s="3" t="n"/>
      <c r="AK188" s="3" t="n"/>
      <c r="AL188" s="3" t="n"/>
      <c r="AM188" s="3" t="n"/>
      <c r="AN188" s="3" t="n"/>
      <c r="AT188" s="3" t="n"/>
      <c r="AU188" s="3" t="n"/>
      <c r="AV188" s="3" t="n"/>
      <c r="AW188" s="3" t="n"/>
      <c r="AX188" s="3" t="n"/>
      <c r="AY188" s="3" t="n"/>
    </row>
    <row r="189">
      <c r="A189" s="3" t="inlineStr">
        <is>
          <t>Revavroom - 193/091</t>
        </is>
      </c>
      <c r="B189" s="3" t="inlineStr">
        <is>
          <t>shiny rare</t>
        </is>
      </c>
      <c r="C189" s="3" t="n">
        <v>472</v>
      </c>
      <c r="D189" s="3" t="n">
        <v>2.17</v>
      </c>
      <c r="E189" s="3" t="inlineStr"/>
      <c r="F189" s="3">
        <f>IF(B189="common", 4, IF(B189="uncommon", 3, IF(B189="rare", 0.73878,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>
        <f>E189 *1.88541666666666</f>
        <v/>
      </c>
      <c r="AB189" s="3">
        <f>1.88541666666666 * (E189 - AA189)^2</f>
        <v/>
      </c>
      <c r="AC189" s="3" t="n"/>
      <c r="AD189" s="3" t="n"/>
      <c r="AJ189" s="3" t="n"/>
      <c r="AK189" s="3" t="n"/>
      <c r="AL189" s="3" t="n"/>
      <c r="AM189" s="3" t="n"/>
      <c r="AN189" s="3" t="n"/>
      <c r="AT189" s="3" t="n"/>
      <c r="AU189" s="3" t="n"/>
      <c r="AV189" s="3" t="n"/>
      <c r="AW189" s="3" t="n"/>
      <c r="AX189" s="3" t="n"/>
      <c r="AY189" s="3" t="n"/>
    </row>
    <row r="190">
      <c r="A190" s="3" t="inlineStr">
        <is>
          <t>Riolu</t>
        </is>
      </c>
      <c r="B190" s="3" t="inlineStr">
        <is>
          <t>shiny rare</t>
        </is>
      </c>
      <c r="C190" s="3" t="n">
        <v>472</v>
      </c>
      <c r="D190" s="3" t="n">
        <v>8.01</v>
      </c>
      <c r="E190" s="3" t="inlineStr"/>
      <c r="F190" s="3">
        <f>IF(B190="common", 4, IF(B190="uncommon", 3, IF(B190="rare", 0.73878,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>
        <f>E190 *1.88541666666666</f>
        <v/>
      </c>
      <c r="AB190" s="3">
        <f>1.88541666666666 * (E190 - AA190)^2</f>
        <v/>
      </c>
      <c r="AC190" s="3" t="n"/>
      <c r="AD190" s="3" t="n"/>
      <c r="AJ190" s="3" t="n"/>
      <c r="AK190" s="3" t="n"/>
      <c r="AL190" s="3" t="n"/>
      <c r="AM190" s="3" t="n"/>
      <c r="AN190" s="3" t="n"/>
      <c r="AT190" s="3" t="n"/>
      <c r="AU190" s="3" t="n"/>
      <c r="AV190" s="3" t="n"/>
      <c r="AW190" s="3" t="n"/>
      <c r="AX190" s="3" t="n"/>
      <c r="AY190" s="3" t="n"/>
    </row>
    <row r="191">
      <c r="A191" s="3" t="inlineStr">
        <is>
          <t>Sableye</t>
        </is>
      </c>
      <c r="B191" s="3" t="inlineStr">
        <is>
          <t>shiny rare</t>
        </is>
      </c>
      <c r="C191" s="3" t="n">
        <v>472</v>
      </c>
      <c r="D191" s="3" t="n">
        <v>4.72</v>
      </c>
      <c r="E191" s="3" t="inlineStr"/>
      <c r="F191" s="3">
        <f>IF(B191="common", 4, IF(B191="uncommon", 3, IF(B191="rare", 0.73878,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>
        <f>E191 *1.88541666666666</f>
        <v/>
      </c>
      <c r="AB191" s="3">
        <f>1.88541666666666 * (E191 - AA191)^2</f>
        <v/>
      </c>
      <c r="AC191" s="3" t="n"/>
      <c r="AD191" s="3" t="n"/>
      <c r="AJ191" s="3" t="n"/>
      <c r="AK191" s="3" t="n"/>
      <c r="AL191" s="3" t="n"/>
      <c r="AM191" s="3" t="n"/>
      <c r="AN191" s="3" t="n"/>
      <c r="AT191" s="3" t="n"/>
      <c r="AU191" s="3" t="n"/>
      <c r="AV191" s="3" t="n"/>
      <c r="AW191" s="3" t="n"/>
      <c r="AX191" s="3" t="n"/>
      <c r="AY191" s="3" t="n"/>
    </row>
    <row r="192">
      <c r="A192" s="3" t="inlineStr">
        <is>
          <t>Scizor</t>
        </is>
      </c>
      <c r="B192" s="3" t="inlineStr">
        <is>
          <t>shiny rare</t>
        </is>
      </c>
      <c r="C192" s="3" t="n">
        <v>472</v>
      </c>
      <c r="D192" s="3" t="n">
        <v>7.68</v>
      </c>
      <c r="E192" s="3" t="inlineStr"/>
      <c r="F192" s="3">
        <f>IF(B192="common", 4, IF(B192="uncommon", 3, IF(B192="rare", 0.73878,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>
        <f>E192 *1.88541666666666</f>
        <v/>
      </c>
      <c r="AB192" s="3">
        <f>1.88541666666666 * (E192 - AA192)^2</f>
        <v/>
      </c>
      <c r="AC192" s="3" t="n"/>
      <c r="AD192" s="3" t="n"/>
      <c r="AJ192" s="3" t="n"/>
      <c r="AK192" s="3" t="n"/>
      <c r="AL192" s="3" t="n"/>
      <c r="AM192" s="3" t="n"/>
      <c r="AN192" s="3" t="n"/>
      <c r="AT192" s="3" t="n"/>
      <c r="AU192" s="3" t="n"/>
      <c r="AV192" s="3" t="n"/>
      <c r="AW192" s="3" t="n"/>
      <c r="AX192" s="3" t="n"/>
      <c r="AY192" s="3" t="n"/>
    </row>
    <row r="193">
      <c r="A193" s="3" t="inlineStr">
        <is>
          <t>Scovillain</t>
        </is>
      </c>
      <c r="B193" s="3" t="inlineStr">
        <is>
          <t>shiny rare</t>
        </is>
      </c>
      <c r="C193" s="3" t="n">
        <v>472</v>
      </c>
      <c r="D193" s="3" t="n">
        <v>1.92</v>
      </c>
      <c r="E193" s="3" t="inlineStr"/>
      <c r="F193" s="3">
        <f>IF(B193="common", 4, IF(B193="uncommon", 3, IF(B193="rare", 0.73878,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>
        <f>E193 *1.88541666666666</f>
        <v/>
      </c>
      <c r="AB193" s="3">
        <f>1.88541666666666 * (E193 - AA193)^2</f>
        <v/>
      </c>
      <c r="AC193" s="3" t="n"/>
      <c r="AD193" s="3" t="n"/>
      <c r="AJ193" s="3" t="n"/>
      <c r="AK193" s="3" t="n"/>
      <c r="AL193" s="3" t="n"/>
      <c r="AM193" s="3" t="n"/>
      <c r="AN193" s="3" t="n"/>
      <c r="AT193" s="3" t="n"/>
      <c r="AU193" s="3" t="n"/>
      <c r="AV193" s="3" t="n"/>
      <c r="AW193" s="3" t="n"/>
      <c r="AX193" s="3" t="n"/>
      <c r="AY193" s="3" t="n"/>
    </row>
    <row r="194">
      <c r="A194" s="3" t="inlineStr">
        <is>
          <t>Scrafty</t>
        </is>
      </c>
      <c r="B194" s="3" t="inlineStr">
        <is>
          <t>uncommon</t>
        </is>
      </c>
      <c r="C194" s="3" t="n">
        <v>25</v>
      </c>
      <c r="D194" s="3" t="n">
        <v>0.05</v>
      </c>
      <c r="E194" s="3" t="n">
        <v>0.17</v>
      </c>
      <c r="F194" s="3">
        <f>IF(B194="common", 4, IF(B194="uncommon", 3, IF(B194="rare", 0.73878,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>
        <f>E194 *1.88541666666666</f>
        <v/>
      </c>
      <c r="AB194" s="3">
        <f>1.88541666666666 * (E194 - AA194)^2</f>
        <v/>
      </c>
      <c r="AC194" s="3" t="n"/>
      <c r="AD194" s="3" t="n"/>
      <c r="AJ194" s="3" t="n"/>
      <c r="AK194" s="3" t="n"/>
      <c r="AL194" s="3" t="n"/>
      <c r="AM194" s="3" t="n"/>
      <c r="AN194" s="3" t="n"/>
      <c r="AT194" s="3" t="n"/>
      <c r="AU194" s="3" t="n"/>
      <c r="AV194" s="3" t="n"/>
      <c r="AW194" s="3" t="n"/>
      <c r="AX194" s="3" t="n"/>
      <c r="AY194" s="3" t="n"/>
    </row>
    <row r="195">
      <c r="A195" s="3" t="inlineStr">
        <is>
          <t>Scraggy</t>
        </is>
      </c>
      <c r="B195" s="3" t="inlineStr">
        <is>
          <t>common</t>
        </is>
      </c>
      <c r="C195" s="3" t="n">
        <v>40</v>
      </c>
      <c r="D195" s="3" t="n">
        <v>0.06</v>
      </c>
      <c r="E195" s="3" t="n">
        <v>0.1</v>
      </c>
      <c r="F195" s="3">
        <f>IF(B195="common", 4, IF(B195="uncommon", 3, IF(B195="rare", 0.73878,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>
        <f>E195 *1.88541666666666</f>
        <v/>
      </c>
      <c r="AB195" s="3">
        <f>1.88541666666666 * (E195  -  AA195)^2</f>
        <v/>
      </c>
      <c r="AC195" s="3" t="n"/>
      <c r="AD195" s="3" t="n"/>
      <c r="AJ195" s="3" t="n"/>
      <c r="AK195" s="3" t="n"/>
      <c r="AL195" s="3" t="n"/>
      <c r="AM195" s="3" t="n"/>
      <c r="AN195" s="3" t="n"/>
      <c r="AT195" s="3" t="n"/>
      <c r="AU195" s="3" t="n"/>
      <c r="AV195" s="3" t="n"/>
      <c r="AW195" s="3" t="n"/>
      <c r="AX195" s="3" t="n"/>
      <c r="AY195" s="3" t="n"/>
    </row>
    <row r="196">
      <c r="A196" s="3" t="inlineStr">
        <is>
          <t>Scyther</t>
        </is>
      </c>
      <c r="B196" s="3" t="inlineStr">
        <is>
          <t>shiny rare</t>
        </is>
      </c>
      <c r="C196" s="3" t="n">
        <v>472</v>
      </c>
      <c r="D196" s="3" t="n">
        <v>5.49</v>
      </c>
      <c r="E196" s="3" t="inlineStr"/>
      <c r="F196" s="3">
        <f>IF(B196="common", 4, IF(B196="uncommon", 3, IF(B196="rare", 0.73878,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>
        <f>E196 *1.88541666666666</f>
        <v/>
      </c>
      <c r="AB196" s="3">
        <f>1.88541666666666 * (E196 - AA196)^2</f>
        <v/>
      </c>
      <c r="AC196" s="3" t="n"/>
      <c r="AD196" s="3" t="n"/>
      <c r="AJ196" s="3" t="n"/>
      <c r="AK196" s="3" t="n"/>
      <c r="AL196" s="3" t="n"/>
      <c r="AM196" s="3" t="n"/>
      <c r="AN196" s="3" t="n"/>
      <c r="AT196" s="3" t="n"/>
      <c r="AU196" s="3" t="n"/>
      <c r="AV196" s="3" t="n"/>
      <c r="AW196" s="3" t="n"/>
      <c r="AX196" s="3" t="n"/>
      <c r="AY196" s="3" t="n"/>
    </row>
    <row r="197">
      <c r="A197" s="3" t="inlineStr">
        <is>
          <t>Shinx</t>
        </is>
      </c>
      <c r="B197" s="3" t="inlineStr">
        <is>
          <t>shiny rare</t>
        </is>
      </c>
      <c r="C197" s="3" t="n">
        <v>472</v>
      </c>
      <c r="D197" s="3" t="n">
        <v>6.78</v>
      </c>
      <c r="E197" s="3" t="inlineStr"/>
      <c r="F197" s="3">
        <f>IF(B197="common", 4, IF(B197="uncommon", 3, IF(B197="rare", 0.73878,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>
        <f>E197 *1.88541666666666</f>
        <v/>
      </c>
      <c r="AB197" s="3">
        <f>1.88541666666666 * (E197 - AA197)^2</f>
        <v/>
      </c>
      <c r="AC197" s="3" t="n"/>
      <c r="AD197" s="3" t="n"/>
      <c r="AJ197" s="3" t="n"/>
      <c r="AK197" s="3" t="n"/>
      <c r="AL197" s="3" t="n"/>
      <c r="AM197" s="3" t="n"/>
      <c r="AN197" s="3" t="n"/>
      <c r="AT197" s="3" t="n"/>
      <c r="AU197" s="3" t="n"/>
      <c r="AV197" s="3" t="n"/>
      <c r="AW197" s="3" t="n"/>
      <c r="AX197" s="3" t="n"/>
      <c r="AY197" s="3" t="n"/>
    </row>
    <row r="198">
      <c r="A198" s="3" t="inlineStr">
        <is>
          <t>Shroodle - 189/091</t>
        </is>
      </c>
      <c r="B198" s="3" t="inlineStr">
        <is>
          <t>shiny rare</t>
        </is>
      </c>
      <c r="C198" s="3" t="n">
        <v>472</v>
      </c>
      <c r="D198" s="3" t="n">
        <v>1.49</v>
      </c>
      <c r="E198" s="3" t="inlineStr"/>
      <c r="F198" s="3">
        <f>IF(B198="common", 4, IF(B198="uncommon", 3, IF(B198="rare", 0.73878,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>
        <f>E198 *1.88541666666666</f>
        <v/>
      </c>
      <c r="AB198" s="3">
        <f>1.88541666666666 * (E198 - AA198)^2</f>
        <v/>
      </c>
      <c r="AC198" s="3" t="n"/>
      <c r="AD198" s="3" t="n"/>
      <c r="AJ198" s="3" t="n"/>
      <c r="AK198" s="3" t="n"/>
      <c r="AL198" s="3" t="n"/>
      <c r="AM198" s="3" t="n"/>
      <c r="AN198" s="3" t="n"/>
      <c r="AT198" s="3" t="n"/>
      <c r="AU198" s="3" t="n"/>
      <c r="AV198" s="3" t="n"/>
      <c r="AW198" s="3" t="n"/>
      <c r="AX198" s="3" t="n"/>
      <c r="AY198" s="3" t="n"/>
    </row>
    <row r="199">
      <c r="A199" s="3" t="inlineStr">
        <is>
          <t>Skiploom</t>
        </is>
      </c>
      <c r="B199" s="3" t="inlineStr">
        <is>
          <t>shiny rare</t>
        </is>
      </c>
      <c r="C199" s="3" t="n">
        <v>472</v>
      </c>
      <c r="D199" s="3" t="n">
        <v>2.22</v>
      </c>
      <c r="E199" s="3" t="inlineStr"/>
      <c r="F199" s="3">
        <f>IF(B199="common", 4, IF(B199="uncommon", 3, IF(B199="rare", 0.73878,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>
        <f>E199 *1.88541666666666</f>
        <v/>
      </c>
      <c r="AB199" s="3">
        <f>1.88541666666666 * (E199 - AA199)^2</f>
        <v/>
      </c>
      <c r="AC199" s="3" t="n"/>
      <c r="AD199" s="3" t="n"/>
      <c r="AJ199" s="3" t="n"/>
      <c r="AK199" s="3" t="n"/>
      <c r="AL199" s="3" t="n"/>
      <c r="AM199" s="3" t="n"/>
      <c r="AN199" s="3" t="n"/>
      <c r="AT199" s="3" t="n"/>
      <c r="AU199" s="3" t="n"/>
      <c r="AV199" s="3" t="n"/>
      <c r="AW199" s="3" t="n"/>
      <c r="AX199" s="3" t="n"/>
      <c r="AY199" s="3" t="n"/>
    </row>
    <row r="200">
      <c r="A200" s="3" t="inlineStr">
        <is>
          <t>Skwovet</t>
        </is>
      </c>
      <c r="B200" s="3" t="inlineStr">
        <is>
          <t>shiny rare</t>
        </is>
      </c>
      <c r="C200" s="3" t="n">
        <v>472</v>
      </c>
      <c r="D200" s="3" t="n">
        <v>2.09</v>
      </c>
      <c r="E200" s="3" t="inlineStr"/>
      <c r="F200" s="3">
        <f>IF(B200="common", 4, IF(B200="uncommon", 3, IF(B200="rare", 0.73878,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>
        <f>E200 *1.88541666666666</f>
        <v/>
      </c>
      <c r="AB200" s="3">
        <f>1.88541666666666 * (E200 - AA200)^2</f>
        <v/>
      </c>
      <c r="AC200" s="3" t="n"/>
      <c r="AD200" s="3" t="n"/>
      <c r="AJ200" s="3" t="n"/>
      <c r="AK200" s="3" t="n"/>
      <c r="AL200" s="3" t="n"/>
      <c r="AM200" s="3" t="n"/>
      <c r="AN200" s="3" t="n"/>
      <c r="AT200" s="3" t="n"/>
      <c r="AU200" s="3" t="n"/>
      <c r="AV200" s="3" t="n"/>
      <c r="AW200" s="3" t="n"/>
      <c r="AX200" s="3" t="n"/>
      <c r="AY200" s="3" t="n"/>
    </row>
    <row r="201">
      <c r="A201" s="3" t="inlineStr">
        <is>
          <t>Slowbro</t>
        </is>
      </c>
      <c r="B201" s="3" t="inlineStr">
        <is>
          <t>shiny rare</t>
        </is>
      </c>
      <c r="C201" s="3" t="n">
        <v>472</v>
      </c>
      <c r="D201" s="3" t="n">
        <v>6.34</v>
      </c>
      <c r="E201" s="3" t="inlineStr"/>
      <c r="F201" s="3">
        <f>IF(B201="common", 4, IF(B201="uncommon", 3, IF(B201="rare", 0.73878,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>
        <f>E201 *1.88541666666666</f>
        <v/>
      </c>
      <c r="AB201" s="3">
        <f>1.88541666666666 * (E201 - AA201)^2</f>
        <v/>
      </c>
      <c r="AC201" s="3" t="n"/>
      <c r="AD201" s="3" t="n"/>
      <c r="AJ201" s="3" t="n"/>
      <c r="AK201" s="3" t="n"/>
      <c r="AL201" s="3" t="n"/>
      <c r="AM201" s="3" t="n"/>
      <c r="AN201" s="3" t="n"/>
      <c r="AT201" s="3" t="n"/>
      <c r="AU201" s="3" t="n"/>
      <c r="AV201" s="3" t="n"/>
      <c r="AW201" s="3" t="n"/>
      <c r="AX201" s="3" t="n"/>
      <c r="AY201" s="3" t="n"/>
    </row>
    <row r="202">
      <c r="A202" s="3" t="inlineStr">
        <is>
          <t>Slowpoke</t>
        </is>
      </c>
      <c r="B202" s="3" t="inlineStr">
        <is>
          <t>shiny rare</t>
        </is>
      </c>
      <c r="C202" s="3" t="n">
        <v>472</v>
      </c>
      <c r="D202" s="3" t="n">
        <v>7.03</v>
      </c>
      <c r="E202" s="3" t="inlineStr"/>
      <c r="F202" s="3">
        <f>IF(B202="common", 4, IF(B202="uncommon", 3, IF(B202="rare", 0.73878,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>
        <f>E202 *1.88541666666666</f>
        <v/>
      </c>
      <c r="AB202" s="3">
        <f>1.88541666666666 * (E202 - AA202)^2</f>
        <v/>
      </c>
      <c r="AC202" s="3" t="n"/>
      <c r="AD202" s="3" t="n"/>
      <c r="AJ202" s="3" t="n"/>
      <c r="AK202" s="3" t="n"/>
      <c r="AL202" s="3" t="n"/>
      <c r="AM202" s="3" t="n"/>
      <c r="AN202" s="3" t="n"/>
      <c r="AT202" s="3" t="n"/>
      <c r="AU202" s="3" t="n"/>
      <c r="AV202" s="3" t="n"/>
      <c r="AW202" s="3" t="n"/>
      <c r="AX202" s="3" t="n"/>
      <c r="AY202" s="3" t="n"/>
    </row>
    <row r="203">
      <c r="A203" s="3" t="inlineStr">
        <is>
          <t>Smoliv</t>
        </is>
      </c>
      <c r="B203" s="3" t="inlineStr">
        <is>
          <t>shiny rare</t>
        </is>
      </c>
      <c r="C203" s="3" t="n">
        <v>472</v>
      </c>
      <c r="D203" s="3" t="n">
        <v>3.41</v>
      </c>
      <c r="E203" s="3" t="inlineStr"/>
      <c r="F203" s="3">
        <f>IF(B203="common", 4, IF(B203="uncommon", 3, IF(B203="rare", 0.73878,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>
        <f>E203 *1.88541666666666</f>
        <v/>
      </c>
      <c r="AB203" s="3">
        <f>1.88541666666666 * (E203 - AA203)^2</f>
        <v/>
      </c>
      <c r="AC203" s="3" t="n"/>
      <c r="AD203" s="3" t="n"/>
      <c r="AJ203" s="3" t="n"/>
      <c r="AK203" s="3" t="n"/>
      <c r="AL203" s="3" t="n"/>
      <c r="AM203" s="3" t="n"/>
      <c r="AN203" s="3" t="n"/>
      <c r="AT203" s="3" t="n"/>
      <c r="AU203" s="3" t="n"/>
      <c r="AV203" s="3" t="n"/>
      <c r="AW203" s="3" t="n"/>
      <c r="AX203" s="3" t="n"/>
      <c r="AY203" s="3" t="n"/>
    </row>
    <row r="204">
      <c r="A204" s="3" t="inlineStr">
        <is>
          <t>Sneasel</t>
        </is>
      </c>
      <c r="B204" s="3" t="inlineStr">
        <is>
          <t>shiny rare</t>
        </is>
      </c>
      <c r="C204" s="3" t="n">
        <v>472</v>
      </c>
      <c r="D204" s="3" t="n">
        <v>2.98</v>
      </c>
      <c r="E204" s="3" t="inlineStr"/>
      <c r="F204" s="3">
        <f>IF(B204="common", 4, IF(B204="uncommon", 3, IF(B204="rare", 0.73878,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>
        <f>E204 *1.88541666666666</f>
        <v/>
      </c>
      <c r="AB204" s="3">
        <f>1.88541666666666 * (E204 - AA204)^2</f>
        <v/>
      </c>
      <c r="AC204" s="3" t="n"/>
      <c r="AD204" s="3" t="n"/>
      <c r="AJ204" s="3" t="n"/>
      <c r="AK204" s="3" t="n"/>
      <c r="AL204" s="3" t="n"/>
      <c r="AM204" s="3" t="n"/>
      <c r="AN204" s="3" t="n"/>
      <c r="AT204" s="3" t="n"/>
      <c r="AU204" s="3" t="n"/>
      <c r="AV204" s="3" t="n"/>
      <c r="AW204" s="3" t="n"/>
      <c r="AX204" s="3" t="n"/>
      <c r="AY204" s="3" t="n"/>
    </row>
    <row r="205">
      <c r="A205" s="3" t="inlineStr">
        <is>
          <t>Snorlax</t>
        </is>
      </c>
      <c r="B205" s="3" t="inlineStr">
        <is>
          <t>shiny rare</t>
        </is>
      </c>
      <c r="C205" s="3" t="n">
        <v>472</v>
      </c>
      <c r="D205" s="3" t="n">
        <v>24.58</v>
      </c>
      <c r="E205" s="3" t="inlineStr"/>
      <c r="F205" s="3">
        <f>IF(B205="common", 4, IF(B205="uncommon", 3, IF(B205="rare", 0.73878,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>
        <f>E205 *1.88541666666666</f>
        <v/>
      </c>
      <c r="AB205" s="3">
        <f>1.88541666666666 * (E205 - AA205)^2</f>
        <v/>
      </c>
      <c r="AC205" s="3" t="n"/>
      <c r="AD205" s="3" t="n"/>
      <c r="AJ205" s="3" t="n"/>
      <c r="AK205" s="3" t="n"/>
      <c r="AL205" s="3" t="n"/>
      <c r="AM205" s="3" t="n"/>
      <c r="AN205" s="3" t="n"/>
      <c r="AT205" s="3" t="n"/>
      <c r="AU205" s="3" t="n"/>
      <c r="AV205" s="3" t="n"/>
      <c r="AW205" s="3" t="n"/>
      <c r="AX205" s="3" t="n"/>
      <c r="AY205" s="3" t="n"/>
    </row>
    <row r="206">
      <c r="A206" s="3" t="inlineStr">
        <is>
          <t>Snover</t>
        </is>
      </c>
      <c r="B206" s="3" t="inlineStr">
        <is>
          <t>shiny rare</t>
        </is>
      </c>
      <c r="C206" s="3" t="n">
        <v>472</v>
      </c>
      <c r="D206" s="3" t="n">
        <v>2.05</v>
      </c>
      <c r="E206" s="3" t="inlineStr"/>
      <c r="F206" s="3">
        <f>IF(B206="common", 4, IF(B206="uncommon", 3, IF(B206="rare", 0.73878,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>
        <f>E206 *1.88541666666666</f>
        <v/>
      </c>
      <c r="AB206" s="3">
        <f>1.88541666666666 * (E206 - AA206)^2</f>
        <v/>
      </c>
      <c r="AC206" s="3" t="n"/>
      <c r="AD206" s="3" t="n"/>
      <c r="AJ206" s="3" t="n"/>
      <c r="AK206" s="3" t="n"/>
      <c r="AL206" s="3" t="n"/>
      <c r="AM206" s="3" t="n"/>
      <c r="AN206" s="3" t="n"/>
      <c r="AT206" s="3" t="n"/>
      <c r="AU206" s="3" t="n"/>
      <c r="AV206" s="3" t="n"/>
      <c r="AW206" s="3" t="n"/>
      <c r="AX206" s="3" t="n"/>
      <c r="AY206" s="3" t="n"/>
    </row>
    <row r="207">
      <c r="A207" s="3" t="inlineStr">
        <is>
          <t>Spiritomb</t>
        </is>
      </c>
      <c r="B207" s="3" t="inlineStr">
        <is>
          <t>shiny rare</t>
        </is>
      </c>
      <c r="C207" s="3" t="n">
        <v>472</v>
      </c>
      <c r="D207" s="3" t="n">
        <v>4.55</v>
      </c>
      <c r="E207" s="3" t="inlineStr"/>
      <c r="F207" s="3">
        <f>IF(B207="common", 4, IF(B207="uncommon", 3, IF(B207="rare", 0.73878,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>
        <f>E207 *1.88541666666666</f>
        <v/>
      </c>
      <c r="AB207" s="3">
        <f>1.88541666666666 * (E207 - AA207)^2</f>
        <v/>
      </c>
      <c r="AC207" s="3" t="n"/>
      <c r="AD207" s="3" t="n"/>
      <c r="AJ207" s="3" t="n"/>
      <c r="AK207" s="3" t="n"/>
      <c r="AL207" s="3" t="n"/>
      <c r="AM207" s="3" t="n"/>
      <c r="AN207" s="3" t="n"/>
      <c r="AT207" s="3" t="n"/>
      <c r="AU207" s="3" t="n"/>
      <c r="AV207" s="3" t="n"/>
      <c r="AW207" s="3" t="n"/>
      <c r="AX207" s="3" t="n"/>
      <c r="AY207" s="3" t="n"/>
    </row>
    <row r="208">
      <c r="A208" s="3" t="inlineStr">
        <is>
          <t>Squawkabilly ex - 075/091</t>
        </is>
      </c>
      <c r="B208" s="3" t="inlineStr">
        <is>
          <t>double rare</t>
        </is>
      </c>
      <c r="C208" s="3" t="n">
        <v>63</v>
      </c>
      <c r="D208" s="3" t="n">
        <v>0.82</v>
      </c>
      <c r="E208" s="3" t="inlineStr"/>
      <c r="F208" s="3">
        <f>IF(B208="common", 4, IF(B208="uncommon", 3, IF(B208="rare", 0.73878,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>
        <f>E208 *1.88541666666666</f>
        <v/>
      </c>
      <c r="AB208" s="3">
        <f>1.88541666666666 * (E208 - AA208)^2</f>
        <v/>
      </c>
      <c r="AC208" s="3" t="n"/>
      <c r="AD208" s="3" t="n"/>
      <c r="AJ208" s="3" t="n"/>
      <c r="AK208" s="3" t="n"/>
      <c r="AL208" s="3" t="n"/>
      <c r="AM208" s="3" t="n"/>
      <c r="AN208" s="3" t="n"/>
      <c r="AT208" s="3" t="n"/>
      <c r="AU208" s="3" t="n"/>
      <c r="AV208" s="3" t="n"/>
      <c r="AW208" s="3" t="n"/>
      <c r="AX208" s="3" t="n"/>
      <c r="AY208" s="3" t="n"/>
    </row>
    <row r="209">
      <c r="A209" s="3" t="inlineStr">
        <is>
          <t>Squawkabilly ex - 223/091</t>
        </is>
      </c>
      <c r="B209" s="3" t="inlineStr">
        <is>
          <t>shiny ultra rare</t>
        </is>
      </c>
      <c r="C209" s="3" t="n">
        <v>155</v>
      </c>
      <c r="D209" s="3" t="n">
        <v>1.13</v>
      </c>
      <c r="E209" s="3" t="inlineStr"/>
      <c r="F209" s="3">
        <f>IF(B209="common", 4, IF(B209="uncommon", 3, IF(B209="rare", 0.73878,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>
        <f>E209 *1.88541666666666</f>
        <v/>
      </c>
      <c r="AB209" s="3">
        <f>1.88541666666666 * (E209 - AA209)^2</f>
        <v/>
      </c>
      <c r="AC209" s="3" t="n"/>
      <c r="AD209" s="3" t="n"/>
      <c r="AJ209" s="3" t="n"/>
      <c r="AK209" s="3" t="n"/>
      <c r="AL209" s="3" t="n"/>
      <c r="AM209" s="3" t="n"/>
      <c r="AN209" s="3" t="n"/>
      <c r="AT209" s="3" t="n"/>
      <c r="AU209" s="3" t="n"/>
      <c r="AV209" s="3" t="n"/>
      <c r="AW209" s="3" t="n"/>
      <c r="AX209" s="3" t="n"/>
      <c r="AY209" s="3" t="n"/>
    </row>
    <row r="210">
      <c r="A210" s="3" t="inlineStr">
        <is>
          <t>Starmie</t>
        </is>
      </c>
      <c r="B210" s="3" t="inlineStr">
        <is>
          <t>shiny rare</t>
        </is>
      </c>
      <c r="C210" s="3" t="n">
        <v>472</v>
      </c>
      <c r="D210" s="3" t="n">
        <v>5.27</v>
      </c>
      <c r="E210" s="3" t="inlineStr"/>
      <c r="F210" s="3">
        <f>IF(B210="common", 4, IF(B210="uncommon", 3, IF(B210="rare", 0.73878,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>
        <f>E210 *1.88541666666666</f>
        <v/>
      </c>
      <c r="AB210" s="3">
        <f>1.88541666666666 * (E210 - AA210)^2</f>
        <v/>
      </c>
      <c r="AC210" s="3" t="n"/>
      <c r="AD210" s="3" t="n"/>
      <c r="AJ210" s="3" t="n"/>
      <c r="AK210" s="3" t="n"/>
      <c r="AL210" s="3" t="n"/>
      <c r="AM210" s="3" t="n"/>
      <c r="AN210" s="3" t="n"/>
      <c r="AT210" s="3" t="n"/>
      <c r="AU210" s="3" t="n"/>
      <c r="AV210" s="3" t="n"/>
      <c r="AW210" s="3" t="n"/>
      <c r="AX210" s="3" t="n"/>
      <c r="AY210" s="3" t="n"/>
    </row>
    <row r="211">
      <c r="A211" s="3" t="inlineStr">
        <is>
          <t>Staryu</t>
        </is>
      </c>
      <c r="B211" s="3" t="inlineStr">
        <is>
          <t>shiny rare</t>
        </is>
      </c>
      <c r="C211" s="3" t="n">
        <v>472</v>
      </c>
      <c r="D211" s="3" t="n">
        <v>3.88</v>
      </c>
      <c r="E211" s="3" t="inlineStr"/>
      <c r="F211" s="3">
        <f>IF(B211="common", 4, IF(B211="uncommon", 3, IF(B211="rare", 0.73878, 1)))</f>
        <v/>
      </c>
      <c r="I211" s="3" t="n"/>
      <c r="J211" s="3" t="n"/>
      <c r="K211" s="3" t="n"/>
      <c r="L211" s="3" t="n"/>
      <c r="M211" s="3" t="n"/>
      <c r="N211" s="3" t="n"/>
      <c r="AY211" s="3" t="n"/>
    </row>
    <row r="212">
      <c r="A212" s="3" t="inlineStr">
        <is>
          <t>Swoobat</t>
        </is>
      </c>
      <c r="B212" s="3" t="inlineStr">
        <is>
          <t>uncommon</t>
        </is>
      </c>
      <c r="C212" s="3" t="n">
        <v>25</v>
      </c>
      <c r="D212" s="3" t="n">
        <v>0.05</v>
      </c>
      <c r="E212" s="3" t="n">
        <v>0.14</v>
      </c>
      <c r="F212" s="3">
        <f>IF(B212="common", 4, IF(B212="uncommon", 3, IF(B212="rare", 0.73878,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Y212" s="3" t="n"/>
    </row>
    <row r="213">
      <c r="A213" s="3" t="inlineStr">
        <is>
          <t>Tandemaus - 073/091</t>
        </is>
      </c>
      <c r="B213" s="3" t="inlineStr">
        <is>
          <t>common</t>
        </is>
      </c>
      <c r="C213" s="3" t="n">
        <v>40</v>
      </c>
      <c r="D213" s="3" t="n">
        <v>0.12</v>
      </c>
      <c r="E213" s="3" t="n">
        <v>0.15</v>
      </c>
      <c r="F213" s="3">
        <f>IF(B213="common", 4, IF(B213="uncommon", 3, IF(B213="rare", 0.73878, 1)))</f>
        <v/>
      </c>
      <c r="I213" s="3" t="n"/>
      <c r="J213" s="3" t="n"/>
      <c r="K213" s="3" t="n"/>
      <c r="L213" s="3" t="n"/>
      <c r="M213" s="3" t="n"/>
      <c r="N213" s="3" t="n"/>
      <c r="AY213" s="3" t="n"/>
    </row>
    <row r="214">
      <c r="A214" s="3" t="inlineStr">
        <is>
          <t>Tandemaus - 209/091</t>
        </is>
      </c>
      <c r="B214" s="3" t="inlineStr">
        <is>
          <t>shiny rare</t>
        </is>
      </c>
      <c r="C214" s="3" t="n">
        <v>472</v>
      </c>
      <c r="D214" s="3" t="n">
        <v>10.52</v>
      </c>
      <c r="E214" s="3" t="inlineStr"/>
      <c r="F214" s="3">
        <f>IF(B214="common", 4, IF(B214="uncommon", 3, IF(B214="rare", 0.73878, 1)))</f>
        <v/>
      </c>
      <c r="I214" s="3" t="n"/>
      <c r="J214" s="3" t="n"/>
      <c r="K214" s="3" t="n"/>
      <c r="L214" s="3" t="n"/>
      <c r="M214" s="3" t="n"/>
      <c r="N214" s="3" t="n"/>
      <c r="AY214" s="3" t="n"/>
    </row>
    <row r="215">
      <c r="A215" s="3" t="inlineStr">
        <is>
          <t>Tatsugiri</t>
        </is>
      </c>
      <c r="B215" s="3" t="inlineStr">
        <is>
          <t>shiny rare</t>
        </is>
      </c>
      <c r="C215" s="3" t="n">
        <v>472</v>
      </c>
      <c r="D215" s="3" t="n">
        <v>4.8</v>
      </c>
      <c r="E215" s="3" t="inlineStr"/>
      <c r="F215" s="3">
        <f>IF(B215="common", 4, IF(B215="uncommon", 3, IF(B215="rare", 0.73878, 1)))</f>
        <v/>
      </c>
      <c r="I215" s="3" t="n"/>
      <c r="J215" s="3" t="n"/>
      <c r="K215" s="3" t="n"/>
      <c r="L215" s="3" t="n"/>
      <c r="M215" s="3" t="n"/>
      <c r="N215" s="3" t="n"/>
      <c r="AY215" s="3" t="n"/>
    </row>
    <row r="216">
      <c r="A216" s="3" t="inlineStr">
        <is>
          <t>Technical Machine: Crisis Punch</t>
        </is>
      </c>
      <c r="B216" s="3" t="inlineStr">
        <is>
          <t>uncommon</t>
        </is>
      </c>
      <c r="C216" s="3" t="n">
        <v>25</v>
      </c>
      <c r="D216" s="3" t="n">
        <v>0.05</v>
      </c>
      <c r="E216" s="3" t="n">
        <v>0.15</v>
      </c>
      <c r="F216" s="3">
        <f>IF(B216="common", 4, IF(B216="uncommon", 3, IF(B216="rare", 0.73878, 1)))</f>
        <v/>
      </c>
      <c r="I216" s="3" t="n"/>
      <c r="J216" s="3" t="n"/>
      <c r="K216" s="3" t="n"/>
      <c r="L216" s="3" t="n"/>
      <c r="M216" s="3" t="n"/>
      <c r="N216" s="3" t="n"/>
      <c r="AY216" s="3" t="n"/>
    </row>
    <row r="217">
      <c r="A217" s="3" t="inlineStr">
        <is>
          <t>Thundurus</t>
        </is>
      </c>
      <c r="B217" s="3" t="inlineStr">
        <is>
          <t>shiny rare</t>
        </is>
      </c>
      <c r="C217" s="3" t="n">
        <v>472</v>
      </c>
      <c r="D217" s="3" t="n">
        <v>2.63</v>
      </c>
      <c r="E217" s="3" t="inlineStr"/>
      <c r="F217" s="3">
        <f>IF(B217="common", 4, IF(B217="uncommon", 3, IF(B217="rare", 0.73878, 1)))</f>
        <v/>
      </c>
      <c r="I217" s="3" t="n"/>
      <c r="J217" s="3" t="n"/>
      <c r="K217" s="3" t="n"/>
      <c r="L217" s="3" t="n"/>
      <c r="M217" s="3" t="n"/>
      <c r="N217" s="3" t="n"/>
      <c r="AY217" s="3" t="n"/>
    </row>
    <row r="218">
      <c r="A218" s="3" t="inlineStr">
        <is>
          <t>Ting-Lu ex</t>
        </is>
      </c>
      <c r="B218" s="3" t="inlineStr">
        <is>
          <t>hyper rare</t>
        </is>
      </c>
      <c r="C218" s="3" t="n">
        <v>372</v>
      </c>
      <c r="D218" s="3" t="n">
        <v>4.99</v>
      </c>
      <c r="E218" s="3" t="inlineStr"/>
      <c r="F218" s="3">
        <f>IF(B218="common", 4, IF(B218="uncommon", 3, IF(B218="rare", 0.73878, 1)))</f>
        <v/>
      </c>
      <c r="I218" s="3" t="n"/>
      <c r="J218" s="3" t="n"/>
      <c r="K218" s="3" t="n"/>
      <c r="L218" s="3" t="n"/>
      <c r="M218" s="3" t="n"/>
      <c r="N218" s="3" t="n"/>
      <c r="AY218" s="3" t="n"/>
    </row>
    <row r="219">
      <c r="A219" s="3" t="inlineStr">
        <is>
          <t>Tinkatink</t>
        </is>
      </c>
      <c r="B219" s="3" t="inlineStr">
        <is>
          <t>shiny rare</t>
        </is>
      </c>
      <c r="C219" s="3" t="n">
        <v>472</v>
      </c>
      <c r="D219" s="3" t="n">
        <v>3.88</v>
      </c>
      <c r="E219" s="3" t="inlineStr"/>
      <c r="F219" s="3">
        <f>IF(B219="common", 4, IF(B219="uncommon", 3, IF(B219="rare", 0.73878, 1)))</f>
        <v/>
      </c>
      <c r="I219" s="3" t="n"/>
      <c r="J219" s="3" t="n"/>
      <c r="K219" s="3" t="n"/>
      <c r="L219" s="3" t="n"/>
      <c r="M219" s="3" t="n"/>
      <c r="N219" s="3" t="n"/>
      <c r="AY219" s="3" t="n"/>
    </row>
    <row r="220">
      <c r="A220" s="3" t="inlineStr">
        <is>
          <t>Tinkaton</t>
        </is>
      </c>
      <c r="B220" s="3" t="inlineStr">
        <is>
          <t>shiny rare</t>
        </is>
      </c>
      <c r="C220" s="3" t="n">
        <v>472</v>
      </c>
      <c r="D220" s="3" t="n">
        <v>6.1</v>
      </c>
      <c r="E220" s="3" t="inlineStr"/>
      <c r="F220" s="3">
        <f>IF(B220="common", 4, IF(B220="uncommon", 3, IF(B220="rare", 0.73878, 1)))</f>
        <v/>
      </c>
      <c r="I220" s="3" t="n"/>
      <c r="J220" s="3" t="n"/>
      <c r="K220" s="3" t="n"/>
      <c r="L220" s="3" t="n"/>
      <c r="M220" s="3" t="n"/>
      <c r="N220" s="3" t="n"/>
      <c r="AY220" s="3" t="n"/>
    </row>
    <row r="221">
      <c r="A221" s="3" t="inlineStr">
        <is>
          <t>Tinkatuff</t>
        </is>
      </c>
      <c r="B221" s="3" t="inlineStr">
        <is>
          <t>shiny rare</t>
        </is>
      </c>
      <c r="C221" s="3" t="n">
        <v>472</v>
      </c>
      <c r="D221" s="3" t="n">
        <v>3.24</v>
      </c>
      <c r="E221" s="3" t="inlineStr"/>
      <c r="F221" s="3">
        <f>IF(B221="common", 4, IF(B221="uncommon", 3, IF(B221="rare", 0.73878, 1)))</f>
        <v/>
      </c>
      <c r="I221" s="3" t="n"/>
      <c r="J221" s="3" t="n"/>
      <c r="K221" s="3" t="n"/>
      <c r="L221" s="3" t="n"/>
      <c r="M221" s="3" t="n"/>
      <c r="N221" s="3" t="n"/>
      <c r="AY221" s="3" t="n"/>
    </row>
    <row r="222">
      <c r="A222" s="3" t="inlineStr">
        <is>
          <t>Toedscool - 004/091</t>
        </is>
      </c>
      <c r="B222" s="3" t="inlineStr">
        <is>
          <t>common</t>
        </is>
      </c>
      <c r="C222" s="3" t="n">
        <v>40</v>
      </c>
      <c r="D222" s="3" t="n">
        <v>0.05</v>
      </c>
      <c r="E222" s="3" t="n">
        <v>0.13</v>
      </c>
      <c r="F222" s="3">
        <f>IF(B222="common", 4, IF(B222="uncommon", 3, IF(B222="rare", 0.73878, 1)))</f>
        <v/>
      </c>
      <c r="I222" s="3" t="n"/>
      <c r="J222" s="3" t="n"/>
      <c r="K222" s="3" t="n"/>
      <c r="L222" s="3" t="n"/>
      <c r="M222" s="3" t="n"/>
      <c r="N222" s="3" t="n"/>
      <c r="AY222" s="3" t="n"/>
    </row>
    <row r="223">
      <c r="A223" s="3" t="inlineStr">
        <is>
          <t>Toedscool - 105/091</t>
        </is>
      </c>
      <c r="B223" s="3" t="inlineStr">
        <is>
          <t>shiny rare</t>
        </is>
      </c>
      <c r="C223" s="3" t="n">
        <v>472</v>
      </c>
      <c r="D223" s="3" t="n">
        <v>2.74</v>
      </c>
      <c r="E223" s="3" t="inlineStr"/>
      <c r="F223" s="3">
        <f>IF(B223="common", 4, IF(B223="uncommon", 3, IF(B223="rare", 0.73878, 1)))</f>
        <v/>
      </c>
      <c r="I223" s="3" t="n"/>
      <c r="J223" s="3" t="n"/>
      <c r="K223" s="3" t="n"/>
      <c r="L223" s="3" t="n"/>
      <c r="M223" s="3" t="n"/>
      <c r="N223" s="3" t="n"/>
      <c r="AY223" s="3" t="n"/>
    </row>
    <row r="224">
      <c r="A224" s="3" t="inlineStr">
        <is>
          <t>Toedscruel ex - 005/091</t>
        </is>
      </c>
      <c r="B224" s="3" t="inlineStr">
        <is>
          <t>double rare</t>
        </is>
      </c>
      <c r="C224" s="3" t="n">
        <v>63</v>
      </c>
      <c r="D224" s="3" t="n">
        <v>0.5600000000000001</v>
      </c>
      <c r="E224" s="3" t="inlineStr"/>
      <c r="F224" s="3">
        <f>IF(B224="common", 4, IF(B224="uncommon", 3, IF(B224="rare", 0.73878, 1)))</f>
        <v/>
      </c>
      <c r="I224" s="3" t="n"/>
      <c r="J224" s="3" t="n"/>
      <c r="K224" s="3" t="n"/>
      <c r="L224" s="3" t="n"/>
      <c r="M224" s="3" t="n"/>
      <c r="N224" s="3" t="n"/>
      <c r="AY224" s="3" t="n"/>
    </row>
    <row r="225">
      <c r="A225" s="3" t="inlineStr">
        <is>
          <t>Toedscruel ex - 213/091</t>
        </is>
      </c>
      <c r="B225" s="3" t="inlineStr">
        <is>
          <t>shiny ultra rare</t>
        </is>
      </c>
      <c r="C225" s="3" t="n">
        <v>155</v>
      </c>
      <c r="D225" s="3" t="n">
        <v>0.93</v>
      </c>
      <c r="E225" s="3" t="inlineStr"/>
      <c r="F225" s="3">
        <f>IF(B225="common", 4, IF(B225="uncommon", 3, IF(B225="rare", 0.73878, 1)))</f>
        <v/>
      </c>
      <c r="I225" s="3" t="n"/>
      <c r="J225" s="3" t="n"/>
      <c r="K225" s="3" t="n"/>
      <c r="L225" s="3" t="n"/>
      <c r="M225" s="3" t="n"/>
      <c r="N225" s="3" t="n"/>
      <c r="AY225" s="3" t="n"/>
    </row>
    <row r="226">
      <c r="A226" s="3" t="inlineStr">
        <is>
          <t>Toxel</t>
        </is>
      </c>
      <c r="B226" s="3" t="inlineStr">
        <is>
          <t>shiny rare</t>
        </is>
      </c>
      <c r="C226" s="3" t="n">
        <v>472</v>
      </c>
      <c r="D226" s="3" t="n">
        <v>2.87</v>
      </c>
      <c r="E226" s="3" t="inlineStr"/>
      <c r="F226" s="3">
        <f>IF(B226="common", 4, IF(B226="uncommon", 3, IF(B226="rare", 0.73878, 1)))</f>
        <v/>
      </c>
      <c r="I226" s="3" t="n"/>
      <c r="J226" s="3" t="n"/>
      <c r="K226" s="3" t="n"/>
      <c r="L226" s="3" t="n"/>
      <c r="M226" s="3" t="n"/>
      <c r="N226" s="3" t="n"/>
      <c r="AY226" s="3" t="n"/>
    </row>
    <row r="227">
      <c r="A227" s="3" t="inlineStr">
        <is>
          <t>Toxtricity</t>
        </is>
      </c>
      <c r="B227" s="3" t="inlineStr">
        <is>
          <t>shiny rare</t>
        </is>
      </c>
      <c r="C227" s="3" t="n">
        <v>472</v>
      </c>
      <c r="D227" s="3" t="n">
        <v>1.91</v>
      </c>
      <c r="E227" s="3" t="inlineStr"/>
      <c r="F227" s="3">
        <f>IF(B227="common", 4, IF(B227="uncommon", 3, IF(B227="rare", 0.73878, 1)))</f>
        <v/>
      </c>
      <c r="I227" s="3" t="n"/>
      <c r="J227" s="3" t="n"/>
      <c r="K227" s="3" t="n"/>
      <c r="L227" s="3" t="n"/>
      <c r="M227" s="3" t="n"/>
      <c r="N227" s="3" t="n"/>
      <c r="AY227" s="3" t="n"/>
    </row>
    <row r="228">
      <c r="A228" s="3" t="inlineStr">
        <is>
          <t>Ultra Ball</t>
        </is>
      </c>
      <c r="B228" s="3" t="inlineStr">
        <is>
          <t>uncommon</t>
        </is>
      </c>
      <c r="C228" s="3" t="n">
        <v>25</v>
      </c>
      <c r="D228" s="3" t="n">
        <v>0.11</v>
      </c>
      <c r="E228" s="3" t="n">
        <v>0.35</v>
      </c>
      <c r="F228" s="3">
        <f>IF(B228="common", 4, IF(B228="uncommon", 3, IF(B228="rare", 0.73878, 1)))</f>
        <v/>
      </c>
      <c r="I228" s="3" t="n"/>
      <c r="J228" s="3" t="n"/>
      <c r="K228" s="3" t="n"/>
      <c r="L228" s="3" t="n"/>
      <c r="M228" s="3" t="n"/>
      <c r="N228" s="3" t="n"/>
      <c r="AY228" s="3" t="n"/>
    </row>
    <row r="229">
      <c r="A229" s="3" t="inlineStr">
        <is>
          <t>Varoom - 064/091</t>
        </is>
      </c>
      <c r="B229" s="3" t="inlineStr">
        <is>
          <t>common</t>
        </is>
      </c>
      <c r="C229" s="3" t="n">
        <v>40</v>
      </c>
      <c r="D229" s="3" t="n">
        <v>0.06</v>
      </c>
      <c r="E229" s="3" t="n">
        <v>0.1</v>
      </c>
      <c r="F229" s="3">
        <f>IF(B229="common", 4, IF(B229="uncommon", 3, IF(B229="rare", 0.73878, 1)))</f>
        <v/>
      </c>
      <c r="I229" s="3" t="n"/>
      <c r="J229" s="3" t="n"/>
      <c r="K229" s="3" t="n"/>
      <c r="L229" s="3" t="n"/>
      <c r="M229" s="3" t="n"/>
      <c r="N229" s="3" t="n"/>
      <c r="AY229" s="3" t="n"/>
    </row>
    <row r="230">
      <c r="A230" s="3" t="inlineStr">
        <is>
          <t>Varoom - 192/091</t>
        </is>
      </c>
      <c r="B230" s="3" t="inlineStr">
        <is>
          <t>shiny rare</t>
        </is>
      </c>
      <c r="C230" s="3" t="n">
        <v>472</v>
      </c>
      <c r="D230" s="3" t="n">
        <v>1.68</v>
      </c>
      <c r="E230" s="3" t="inlineStr"/>
      <c r="F230" s="3">
        <f>IF(B230="common", 4, IF(B230="uncommon", 3, IF(B230="rare", 0.73878, 1)))</f>
        <v/>
      </c>
      <c r="I230" s="3" t="n"/>
      <c r="J230" s="3" t="n"/>
      <c r="K230" s="3" t="n"/>
      <c r="L230" s="3" t="n"/>
      <c r="M230" s="3" t="n"/>
      <c r="N230" s="3" t="n"/>
      <c r="AY230" s="3" t="n"/>
    </row>
    <row r="231">
      <c r="A231" s="3" t="inlineStr">
        <is>
          <t>Veluza - 125/091</t>
        </is>
      </c>
      <c r="B231" s="3" t="inlineStr">
        <is>
          <t>shiny rare</t>
        </is>
      </c>
      <c r="C231" s="3" t="n">
        <v>472</v>
      </c>
      <c r="D231" s="3" t="n">
        <v>1.59</v>
      </c>
      <c r="E231" s="3" t="inlineStr"/>
      <c r="F231" s="3">
        <f>IF(B231="common", 4, IF(B231="uncommon", 3, IF(B231="rare", 0.73878, 1)))</f>
        <v/>
      </c>
      <c r="I231" s="3" t="n"/>
      <c r="J231" s="3" t="n"/>
      <c r="K231" s="3" t="n"/>
      <c r="L231" s="3" t="n"/>
      <c r="M231" s="3" t="n"/>
      <c r="N231" s="3" t="n"/>
      <c r="AY231" s="3" t="n"/>
    </row>
    <row r="232">
      <c r="A232" s="3" t="inlineStr">
        <is>
          <t>Vileplume</t>
        </is>
      </c>
      <c r="B232" s="3" t="inlineStr">
        <is>
          <t>shiny rare</t>
        </is>
      </c>
      <c r="C232" s="3" t="n">
        <v>472</v>
      </c>
      <c r="D232" s="3" t="n">
        <v>4.43</v>
      </c>
      <c r="E232" s="3" t="inlineStr"/>
      <c r="F232" s="3">
        <f>IF(B232="common", 4, IF(B232="uncommon", 3, IF(B232="rare", 0.73878, 1)))</f>
        <v/>
      </c>
      <c r="I232" s="3" t="n"/>
      <c r="J232" s="3" t="n"/>
      <c r="K232" s="3" t="n"/>
      <c r="L232" s="3" t="n"/>
      <c r="M232" s="3" t="n"/>
      <c r="N232" s="3" t="n"/>
      <c r="AY232" s="3" t="n"/>
    </row>
    <row r="233">
      <c r="A233" s="3" t="inlineStr">
        <is>
          <t>Voltorb</t>
        </is>
      </c>
      <c r="B233" s="3" t="inlineStr">
        <is>
          <t>shiny rare</t>
        </is>
      </c>
      <c r="C233" s="3" t="n">
        <v>472</v>
      </c>
      <c r="D233" s="3" t="n">
        <v>2.62</v>
      </c>
      <c r="E233" s="3" t="inlineStr"/>
      <c r="F233" s="3">
        <f>IF(B233="common", 4, IF(B233="uncommon", 3, IF(B233="rare", 0.73878, 1)))</f>
        <v/>
      </c>
      <c r="I233" s="3" t="n"/>
      <c r="J233" s="3" t="n"/>
      <c r="K233" s="3" t="n"/>
      <c r="L233" s="3" t="n"/>
      <c r="M233" s="3" t="n"/>
      <c r="N233" s="3" t="n"/>
      <c r="AY233" s="3" t="n"/>
    </row>
    <row r="234">
      <c r="A234" s="3" t="inlineStr">
        <is>
          <t>Wattrel</t>
        </is>
      </c>
      <c r="B234" s="3" t="inlineStr">
        <is>
          <t>shiny rare</t>
        </is>
      </c>
      <c r="C234" s="3" t="n">
        <v>472</v>
      </c>
      <c r="D234" s="3" t="n">
        <v>2.69</v>
      </c>
      <c r="E234" s="3" t="inlineStr"/>
      <c r="F234" s="3">
        <f>IF(B234="common", 4, IF(B234="uncommon", 3, IF(B234="rare", 0.73878, 1)))</f>
        <v/>
      </c>
      <c r="I234" s="3" t="n"/>
      <c r="J234" s="3" t="n"/>
      <c r="K234" s="3" t="n"/>
      <c r="L234" s="3" t="n"/>
      <c r="M234" s="3" t="n"/>
      <c r="N234" s="3" t="n"/>
      <c r="AY234" s="3" t="n"/>
    </row>
    <row r="235">
      <c r="A235" s="3" t="inlineStr">
        <is>
          <t>Weavile</t>
        </is>
      </c>
      <c r="B235" s="3" t="inlineStr">
        <is>
          <t>shiny rare</t>
        </is>
      </c>
      <c r="C235" s="3" t="n">
        <v>472</v>
      </c>
      <c r="D235" s="3" t="n">
        <v>1.77</v>
      </c>
      <c r="E235" s="3" t="inlineStr"/>
      <c r="F235" s="3">
        <f>IF(B235="common", 4, IF(B235="uncommon", 3, IF(B235="rare", 0.73878, 1)))</f>
        <v/>
      </c>
      <c r="I235" s="3" t="n"/>
      <c r="J235" s="3" t="n"/>
      <c r="K235" s="3" t="n"/>
      <c r="L235" s="3" t="n"/>
      <c r="M235" s="3" t="n"/>
      <c r="N235" s="3" t="n"/>
      <c r="AY235" s="3" t="n"/>
    </row>
    <row r="236">
      <c r="A236" s="3" t="inlineStr">
        <is>
          <t>Whimsicott</t>
        </is>
      </c>
      <c r="B236" s="3" t="inlineStr">
        <is>
          <t>uncommon</t>
        </is>
      </c>
      <c r="C236" s="3" t="n">
        <v>25</v>
      </c>
      <c r="D236" s="3" t="n">
        <v>0.06</v>
      </c>
      <c r="E236" s="3" t="n">
        <v>0.18</v>
      </c>
      <c r="F236" s="3">
        <f>IF(B236="common", 4, IF(B236="uncommon", 3, IF(B236="rare", 0.73878, 1)))</f>
        <v/>
      </c>
      <c r="I236" s="3" t="n"/>
      <c r="J236" s="3" t="n"/>
      <c r="K236" s="3" t="n"/>
      <c r="L236" s="3" t="n"/>
      <c r="M236" s="3" t="n"/>
      <c r="N236" s="3" t="n"/>
      <c r="AY236" s="3" t="n"/>
    </row>
    <row r="237">
      <c r="A237" s="3" t="inlineStr">
        <is>
          <t>Wigglytuff</t>
        </is>
      </c>
      <c r="B237" s="3" t="inlineStr">
        <is>
          <t>shiny rare</t>
        </is>
      </c>
      <c r="C237" s="3" t="n">
        <v>472</v>
      </c>
      <c r="D237" s="3" t="n">
        <v>2.44</v>
      </c>
      <c r="E237" s="3" t="inlineStr"/>
      <c r="F237" s="3">
        <f>IF(B237="common", 4, IF(B237="uncommon", 3, IF(B237="rare", 0.73878, 1)))</f>
        <v/>
      </c>
      <c r="I237" s="3" t="n"/>
      <c r="J237" s="3" t="n"/>
      <c r="K237" s="3" t="n"/>
      <c r="L237" s="3" t="n"/>
      <c r="M237" s="3" t="n"/>
      <c r="N237" s="3" t="n"/>
      <c r="AY237" s="3" t="n"/>
    </row>
    <row r="238">
      <c r="A238" s="3" t="inlineStr">
        <is>
          <t>Wigglytuff ex</t>
        </is>
      </c>
      <c r="B238" s="3" t="inlineStr">
        <is>
          <t>shiny ultra rare</t>
        </is>
      </c>
      <c r="C238" s="3" t="n">
        <v>155</v>
      </c>
      <c r="D238" s="3" t="n">
        <v>1.41</v>
      </c>
      <c r="E238" s="3" t="inlineStr"/>
      <c r="F238" s="3">
        <f>IF(B238="common", 4, IF(B238="uncommon", 3, IF(B238="rare", 0.73878, 1)))</f>
        <v/>
      </c>
      <c r="I238" s="3" t="n"/>
      <c r="J238" s="3" t="n"/>
      <c r="K238" s="3" t="n"/>
      <c r="L238" s="3" t="n"/>
      <c r="M238" s="3" t="n"/>
      <c r="N238" s="3" t="n"/>
      <c r="AY238" s="3" t="n"/>
    </row>
    <row r="239">
      <c r="A239" s="3" t="inlineStr">
        <is>
          <t>Wiglett - 121/091</t>
        </is>
      </c>
      <c r="B239" s="3" t="inlineStr">
        <is>
          <t>shiny rare</t>
        </is>
      </c>
      <c r="C239" s="3" t="n">
        <v>472</v>
      </c>
      <c r="D239" s="3" t="n">
        <v>2.92</v>
      </c>
      <c r="E239" s="3" t="inlineStr"/>
      <c r="F239" s="3">
        <f>IF(B239="common", 4, IF(B239="uncommon", 3, IF(B239="rare", 0.73878, 1)))</f>
        <v/>
      </c>
      <c r="I239" s="3" t="n"/>
      <c r="J239" s="3" t="n"/>
      <c r="K239" s="3" t="n"/>
      <c r="L239" s="3" t="n"/>
      <c r="M239" s="3" t="n"/>
      <c r="N239" s="3" t="n"/>
      <c r="AY239" s="3" t="n"/>
    </row>
    <row r="240">
      <c r="A240" s="3" t="inlineStr">
        <is>
          <t>Wingull</t>
        </is>
      </c>
      <c r="B240" s="3" t="inlineStr">
        <is>
          <t>shiny rare</t>
        </is>
      </c>
      <c r="C240" s="3" t="n">
        <v>472</v>
      </c>
      <c r="D240" s="3" t="n">
        <v>2.3</v>
      </c>
      <c r="E240" s="3" t="inlineStr"/>
      <c r="F240" s="3">
        <f>IF(B240="common", 4, IF(B240="uncommon", 3, IF(B240="rare", 0.73878, 1)))</f>
        <v/>
      </c>
      <c r="I240" s="3" t="n"/>
      <c r="J240" s="3" t="n"/>
      <c r="K240" s="3" t="n"/>
      <c r="L240" s="3" t="n"/>
      <c r="M240" s="3" t="n"/>
      <c r="N240" s="3" t="n"/>
      <c r="AY240" s="3" t="n"/>
    </row>
    <row r="241">
      <c r="A241" s="3" t="inlineStr">
        <is>
          <t>Wo-Chien ex</t>
        </is>
      </c>
      <c r="B241" s="3" t="inlineStr">
        <is>
          <t>hyper rare</t>
        </is>
      </c>
      <c r="C241" s="3" t="n">
        <v>372</v>
      </c>
      <c r="D241" s="3" t="n">
        <v>5.44</v>
      </c>
      <c r="E241" s="3" t="inlineStr"/>
      <c r="F241" s="3">
        <f>IF(B241="common", 4, IF(B241="uncommon", 3, IF(B241="rare", 0.73878, 1)))</f>
        <v/>
      </c>
      <c r="I241" s="3" t="n"/>
      <c r="J241" s="3" t="n"/>
      <c r="K241" s="3" t="n"/>
      <c r="L241" s="3" t="n"/>
      <c r="M241" s="3" t="n"/>
      <c r="N241" s="3" t="n"/>
      <c r="AY241" s="3" t="n"/>
    </row>
    <row r="242">
      <c r="A242" s="3" t="inlineStr">
        <is>
          <t>Woobat</t>
        </is>
      </c>
      <c r="B242" s="3" t="inlineStr">
        <is>
          <t>common</t>
        </is>
      </c>
      <c r="C242" s="3" t="n">
        <v>40</v>
      </c>
      <c r="D242" s="3" t="n">
        <v>0.04</v>
      </c>
      <c r="E242" s="3" t="n">
        <v>0.1</v>
      </c>
      <c r="F242" s="3">
        <f>IF(B242="common", 4, IF(B242="uncommon", 3, IF(B242="rare", 0.73878, 1)))</f>
        <v/>
      </c>
      <c r="I242" s="3" t="n"/>
      <c r="J242" s="3" t="n"/>
      <c r="K242" s="3" t="n"/>
      <c r="L242" s="3" t="n"/>
      <c r="M242" s="3" t="n"/>
      <c r="N242" s="3" t="n"/>
      <c r="AY242" s="3" t="n"/>
    </row>
    <row r="243">
      <c r="A243" s="3" t="inlineStr">
        <is>
          <t>Wugtrio - 122/091</t>
        </is>
      </c>
      <c r="B243" s="3" t="inlineStr">
        <is>
          <t>shiny rare</t>
        </is>
      </c>
      <c r="C243" s="3" t="n">
        <v>472</v>
      </c>
      <c r="D243" s="3" t="n">
        <v>2.14</v>
      </c>
      <c r="E243" s="3" t="inlineStr"/>
      <c r="F243" s="3">
        <f>IF(B243="common", 4, IF(B243="uncommon", 3, IF(B243="rare", 0.73878, 1)))</f>
        <v/>
      </c>
      <c r="I243" s="3" t="n"/>
      <c r="J243" s="3" t="n"/>
      <c r="K243" s="3" t="n"/>
      <c r="L243" s="3" t="n"/>
      <c r="M243" s="3" t="n"/>
      <c r="N243" s="3" t="n"/>
      <c r="AY243" s="3" t="n"/>
    </row>
    <row r="244">
      <c r="A244" s="3" t="inlineStr">
        <is>
          <t>Wugtrio - 224/091</t>
        </is>
      </c>
      <c r="B244" s="3" t="inlineStr">
        <is>
          <t>illustration rare</t>
        </is>
      </c>
      <c r="C244" s="3" t="n">
        <v>42</v>
      </c>
      <c r="D244" s="3" t="n">
        <v>1.64</v>
      </c>
      <c r="E244" s="3" t="inlineStr"/>
      <c r="F244" s="3">
        <f>IF(B244="common", 4, IF(B244="uncommon", 3, IF(B244="rare", 0.73878, 1)))</f>
        <v/>
      </c>
      <c r="I244" s="3" t="n"/>
      <c r="J244" s="3" t="n"/>
      <c r="K244" s="3" t="n"/>
      <c r="L244" s="3" t="n"/>
      <c r="M244" s="3" t="n"/>
      <c r="N244" s="3" t="n"/>
      <c r="AY244" s="3" t="n"/>
    </row>
    <row r="245">
      <c r="A245" s="3" t="inlineStr">
        <is>
          <t>Xatu - 026/091</t>
        </is>
      </c>
      <c r="B245" s="3" t="inlineStr">
        <is>
          <t>rare</t>
        </is>
      </c>
      <c r="C245" s="3" t="n">
        <v>16</v>
      </c>
      <c r="D245" s="3" t="n">
        <v>0.11</v>
      </c>
      <c r="E245" s="3" t="n">
        <v>0.19</v>
      </c>
      <c r="F245" s="3">
        <f>IF(B245="common", 4, IF(B245="uncommon", 3, IF(B245="rare", 0.73878, 1)))</f>
        <v/>
      </c>
      <c r="I245" s="3" t="n"/>
      <c r="J245" s="3" t="n"/>
      <c r="K245" s="3" t="n"/>
      <c r="L245" s="3" t="n"/>
      <c r="M245" s="3" t="n"/>
      <c r="N245" s="3" t="n"/>
      <c r="AY245" s="3" t="n"/>
    </row>
    <row r="246">
      <c r="A246" s="3" t="inlineStr">
        <is>
          <t>Xatu - 152/091</t>
        </is>
      </c>
      <c r="B246" s="3" t="inlineStr">
        <is>
          <t>shiny rare</t>
        </is>
      </c>
      <c r="C246" s="3" t="n">
        <v>472</v>
      </c>
      <c r="D246" s="3" t="n">
        <v>2.71</v>
      </c>
      <c r="E246" s="3" t="inlineStr"/>
      <c r="F246" s="3">
        <f>IF(B246="common", 4, IF(B246="uncommon", 3, IF(B246="rare", 0.73878, 1)))</f>
        <v/>
      </c>
      <c r="I246" s="3" t="n"/>
      <c r="J246" s="3" t="n"/>
      <c r="K246" s="3" t="n"/>
      <c r="L246" s="3" t="n"/>
      <c r="M246" s="3" t="n"/>
      <c r="N246" s="3" t="n"/>
      <c r="AY246" s="3" t="n"/>
    </row>
    <row r="247">
      <c r="A247" s="3" t="n"/>
      <c r="B247" s="3" t="n"/>
      <c r="C247" s="3" t="n"/>
      <c r="D247" s="3" t="n"/>
      <c r="E247" s="3" t="n"/>
      <c r="F247" s="3">
        <f>IF(B247="common", 4, IF(B247="uncommon", 3, IF(B247="rare", 0.73878, 1)))</f>
        <v/>
      </c>
      <c r="I247" s="3" t="n"/>
      <c r="J247" s="3" t="n"/>
      <c r="K247" s="3" t="n"/>
      <c r="L247" s="3" t="n"/>
      <c r="M247" s="3" t="n"/>
      <c r="N247" s="3" t="n"/>
      <c r="AY247" s="3" t="n"/>
    </row>
    <row r="248">
      <c r="A248" s="3" t="n"/>
      <c r="B248" s="3" t="n"/>
      <c r="C248" s="3" t="n"/>
      <c r="D248" s="3" t="n"/>
      <c r="E248" s="3" t="n"/>
      <c r="F248" s="3">
        <f>IF(B248="common", 4, IF(B248="uncommon", 3, IF(B248="rare", 0.73878, 1)))</f>
        <v/>
      </c>
      <c r="I248" s="3" t="n"/>
      <c r="J248" s="3" t="n"/>
      <c r="K248" s="3" t="n"/>
      <c r="L248" s="3" t="n"/>
      <c r="M248" s="3" t="n"/>
      <c r="N248" s="3" t="n"/>
      <c r="AY248" s="3" t="n"/>
    </row>
    <row r="249">
      <c r="A249" s="3" t="n"/>
      <c r="B249" s="3" t="n"/>
      <c r="C249" s="3" t="n"/>
      <c r="D249" s="3" t="n"/>
      <c r="E249" s="3" t="n"/>
      <c r="F249" s="3">
        <f>IF(B249="common", 4, IF(B249="uncommon", 3, IF(B249="rare", 0.73878, 1)))</f>
        <v/>
      </c>
      <c r="I249" s="3" t="n"/>
      <c r="J249" s="3" t="n"/>
      <c r="K249" s="3" t="n"/>
      <c r="L249" s="3" t="n"/>
      <c r="M249" s="3" t="n"/>
      <c r="N249" s="3" t="n"/>
      <c r="AY249" s="3" t="n"/>
    </row>
    <row r="250">
      <c r="A250" s="3" t="n"/>
      <c r="B250" s="3" t="n"/>
      <c r="C250" s="3" t="n"/>
      <c r="D250" s="3" t="n"/>
      <c r="E250" s="3" t="n"/>
      <c r="F250" s="3">
        <f>IF(B250="common", 4, IF(B250="uncommon", 3, IF(B250="rare", 0.73878, 1)))</f>
        <v/>
      </c>
      <c r="I250" s="3" t="n"/>
      <c r="J250" s="3" t="n"/>
      <c r="K250" s="3" t="n"/>
      <c r="L250" s="3" t="n"/>
      <c r="M250" s="3" t="n"/>
      <c r="N250" s="3" t="n"/>
      <c r="AY250" s="3" t="n"/>
    </row>
    <row r="251">
      <c r="A251" s="3" t="n"/>
      <c r="B251" s="3" t="n"/>
      <c r="C251" s="3" t="n"/>
      <c r="D251" s="3" t="n"/>
      <c r="E251" s="3" t="n"/>
      <c r="F251" s="3">
        <f>IF(B251="common", 4, IF(B251="uncommon", 3, IF(B251="rare", 0.73878, 1)))</f>
        <v/>
      </c>
      <c r="I251" s="3" t="n"/>
      <c r="J251" s="3" t="n"/>
      <c r="K251" s="3" t="n"/>
      <c r="L251" s="3" t="n"/>
      <c r="M251" s="3" t="n"/>
      <c r="N251" s="3" t="n"/>
      <c r="AY251" s="3" t="n"/>
    </row>
    <row r="252">
      <c r="A252" s="3" t="n"/>
      <c r="B252" s="3" t="n"/>
      <c r="C252" s="3" t="n"/>
      <c r="D252" s="3" t="n"/>
      <c r="E252" s="3" t="n"/>
      <c r="F252" s="3">
        <f>IF(B252="common", 4, IF(B252="uncommon", 3, IF(B252="rare", 0.73878, 1)))</f>
        <v/>
      </c>
      <c r="I252" s="3" t="n"/>
      <c r="J252" s="3" t="n"/>
      <c r="K252" s="3" t="n"/>
      <c r="L252" s="3" t="n"/>
      <c r="M252" s="3" t="n"/>
      <c r="N252" s="3" t="n"/>
      <c r="AY252" s="3" t="n"/>
    </row>
    <row r="253">
      <c r="A253" s="3" t="n"/>
      <c r="B253" s="3" t="n"/>
      <c r="C253" s="3" t="n"/>
      <c r="D253" s="3" t="n"/>
      <c r="E253" s="3" t="n"/>
      <c r="F253" s="3">
        <f>IF(B253="common", 4, IF(B253="uncommon", 3, IF(B253="rare", 0.73878, 1)))</f>
        <v/>
      </c>
      <c r="I253" s="3" t="n"/>
      <c r="J253" s="3" t="n"/>
      <c r="K253" s="3" t="n"/>
      <c r="L253" s="3" t="n"/>
      <c r="M253" s="3" t="n"/>
      <c r="N253" s="3" t="n"/>
      <c r="AY253" s="3" t="n"/>
    </row>
    <row r="254">
      <c r="A254" s="3" t="n"/>
      <c r="B254" s="3" t="n"/>
      <c r="C254" s="3" t="n"/>
      <c r="D254" s="3" t="n"/>
      <c r="E254" s="3" t="n"/>
      <c r="F254" s="3">
        <f>IF(B254="common", 4, IF(B254="uncommon", 3, IF(B254="rare", 0.73878, 1)))</f>
        <v/>
      </c>
      <c r="I254" s="3" t="n"/>
      <c r="J254" s="3" t="n"/>
      <c r="K254" s="3" t="n"/>
      <c r="L254" s="3" t="n"/>
      <c r="M254" s="3" t="n"/>
      <c r="N254" s="3" t="n"/>
      <c r="AY254" s="3" t="n"/>
    </row>
    <row r="255">
      <c r="A255" s="3" t="n"/>
      <c r="B255" s="3" t="n"/>
      <c r="C255" s="3" t="n"/>
      <c r="D255" s="3" t="n"/>
      <c r="E255" s="3" t="n"/>
      <c r="F255" s="3">
        <f>IF(B255="common", 4, IF(B255="uncommon", 3, IF(B255="rare", 0.73878, 1)))</f>
        <v/>
      </c>
      <c r="I255" s="3" t="n"/>
      <c r="J255" s="3" t="n"/>
      <c r="K255" s="3" t="n"/>
      <c r="L255" s="3" t="n"/>
      <c r="M255" s="3" t="n"/>
      <c r="N255" s="3" t="n"/>
      <c r="AY255" s="3" t="n"/>
    </row>
    <row r="256">
      <c r="A256" s="3" t="n"/>
      <c r="B256" s="3" t="n"/>
      <c r="C256" s="3" t="n"/>
      <c r="D256" s="3" t="n"/>
      <c r="E256" s="3" t="n"/>
      <c r="F256" s="3">
        <f>IF(B256="common", 4, IF(B256="uncommon", 3, IF(B256="rare", 0.73878, 1)))</f>
        <v/>
      </c>
      <c r="I256" s="3" t="n"/>
      <c r="J256" s="3" t="n"/>
      <c r="K256" s="3" t="n"/>
      <c r="L256" s="3" t="n"/>
      <c r="M256" s="3" t="n"/>
      <c r="N256" s="3" t="n"/>
      <c r="AY256" s="3" t="n"/>
    </row>
    <row r="257">
      <c r="A257" s="3" t="n"/>
      <c r="B257" s="3" t="n"/>
      <c r="C257" s="3" t="n"/>
      <c r="D257" s="3" t="n"/>
      <c r="E257" s="3" t="n"/>
      <c r="F257" s="3">
        <f>IF(B257="common", 4, IF(B257="uncommon", 3, IF(B257="rare", 0.73878, 1)))</f>
        <v/>
      </c>
      <c r="I257" s="3" t="n"/>
      <c r="J257" s="3" t="n"/>
      <c r="K257" s="3" t="n"/>
      <c r="L257" s="3" t="n"/>
      <c r="M257" s="3" t="n"/>
      <c r="N257" s="3" t="n"/>
      <c r="AY257" s="3" t="n"/>
    </row>
    <row r="258">
      <c r="A258" s="3" t="n"/>
      <c r="B258" s="3" t="n"/>
      <c r="C258" s="3" t="n"/>
      <c r="D258" s="3" t="n"/>
      <c r="E258" s="3" t="n"/>
      <c r="F258" s="3">
        <f>IF(B258="common", 4, IF(B258="uncommon", 3, IF(B258="rare", 0.73878, 1)))</f>
        <v/>
      </c>
      <c r="I258" s="3" t="n"/>
      <c r="J258" s="3" t="n"/>
      <c r="K258" s="3" t="n"/>
      <c r="L258" s="3" t="n"/>
      <c r="M258" s="3" t="n"/>
      <c r="N258" s="3" t="n"/>
      <c r="AY258" s="3" t="n"/>
    </row>
    <row r="259">
      <c r="A259" s="3" t="n"/>
      <c r="B259" s="3" t="n"/>
      <c r="C259" s="3" t="n"/>
      <c r="D259" s="3" t="n"/>
      <c r="E259" s="3" t="n"/>
      <c r="F259" s="3">
        <f>IF(B259="common", 4, IF(B259="uncommon", 3, IF(B259="rare", 0.73878, 1)))</f>
        <v/>
      </c>
      <c r="I259" s="3" t="n"/>
      <c r="J259" s="3" t="n"/>
      <c r="K259" s="3" t="n"/>
      <c r="L259" s="3" t="n"/>
      <c r="M259" s="3" t="n"/>
      <c r="N259" s="3" t="n"/>
      <c r="AY259" s="3" t="n"/>
    </row>
    <row r="260">
      <c r="A260" s="3" t="n"/>
      <c r="B260" s="3" t="n"/>
      <c r="C260" s="3" t="n"/>
      <c r="D260" s="3" t="n"/>
      <c r="E260" s="3" t="n"/>
      <c r="F260" s="3">
        <f>IF(B260="common", 4, IF(B260="uncommon", 3, IF(B260="rare", 0.73878, 1)))</f>
        <v/>
      </c>
      <c r="I260" s="3" t="n"/>
      <c r="J260" s="3" t="n"/>
      <c r="K260" s="3" t="n"/>
      <c r="L260" s="3" t="n"/>
      <c r="M260" s="3" t="n"/>
      <c r="N260" s="3" t="n"/>
      <c r="AY260" s="3" t="n"/>
    </row>
    <row r="261">
      <c r="A261" s="3" t="n"/>
      <c r="B261" s="3" t="n"/>
      <c r="C261" s="3" t="n"/>
      <c r="D261" s="3" t="n"/>
      <c r="E261" s="3" t="n"/>
      <c r="F261" s="3">
        <f>IF(B261="common", 4, IF(B261="uncommon", 3, IF(B261="rare", 0.73878, 1)))</f>
        <v/>
      </c>
      <c r="I261" s="3" t="n"/>
      <c r="J261" s="3" t="n"/>
      <c r="K261" s="3" t="n"/>
      <c r="L261" s="3" t="n"/>
      <c r="M261" s="3" t="n"/>
      <c r="N261" s="3" t="n"/>
      <c r="AY261" s="3" t="n"/>
    </row>
    <row r="262">
      <c r="A262" s="3" t="n"/>
      <c r="B262" s="3" t="n"/>
      <c r="C262" s="3" t="n"/>
      <c r="D262" s="3" t="n"/>
      <c r="E262" s="3" t="n"/>
      <c r="F262" s="3">
        <f>IF(B262="common", 4, IF(B262="uncommon", 3, IF(B262="rare", 0.73878, 1)))</f>
        <v/>
      </c>
      <c r="I262" s="3" t="n"/>
      <c r="J262" s="3" t="n"/>
      <c r="K262" s="3" t="n"/>
      <c r="L262" s="3" t="n"/>
      <c r="M262" s="3" t="n"/>
      <c r="N262" s="3" t="n"/>
      <c r="AY262" s="3" t="n"/>
    </row>
    <row r="263">
      <c r="A263" s="3" t="n"/>
      <c r="B263" s="3" t="n"/>
      <c r="C263" s="3" t="n"/>
      <c r="D263" s="3" t="n"/>
      <c r="E263" s="3" t="n"/>
      <c r="F263" s="3">
        <f>IF(B263="common", 4, IF(B263="uncommon", 3, IF(B263="rare", 0.73878, 1)))</f>
        <v/>
      </c>
      <c r="I263" s="3" t="n"/>
      <c r="J263" s="3" t="n"/>
      <c r="K263" s="3" t="n"/>
      <c r="L263" s="3" t="n"/>
      <c r="M263" s="3" t="n"/>
      <c r="N263" s="3" t="n"/>
      <c r="AY263" s="3" t="n"/>
    </row>
    <row r="264">
      <c r="A264" s="3" t="n"/>
      <c r="B264" s="3" t="n"/>
      <c r="C264" s="3" t="n"/>
      <c r="D264" s="3" t="n"/>
      <c r="E264" s="3" t="n"/>
      <c r="F264" s="3">
        <f>IF(B264="common", 4, IF(B264="uncommon", 3, IF(B264="rare", 0.73878, 1)))</f>
        <v/>
      </c>
      <c r="I264" s="3" t="n"/>
      <c r="J264" s="3" t="n"/>
      <c r="K264" s="3" t="n"/>
      <c r="L264" s="3" t="n"/>
      <c r="M264" s="3" t="n"/>
      <c r="N264" s="3" t="n"/>
      <c r="AY264" s="3" t="n"/>
    </row>
    <row r="265">
      <c r="A265" s="3" t="n"/>
      <c r="B265" s="3" t="n"/>
      <c r="C265" s="3" t="n"/>
      <c r="D265" s="3" t="n"/>
      <c r="E265" s="3" t="n"/>
      <c r="F265" s="3">
        <f>IF(B265="common", 4, IF(B265="uncommon", 3, IF(B265="rare", 0.73878, 1)))</f>
        <v/>
      </c>
      <c r="I265" s="3" t="n"/>
      <c r="J265" s="3" t="n"/>
      <c r="K265" s="3" t="n"/>
      <c r="L265" s="3" t="n"/>
      <c r="M265" s="3" t="n"/>
      <c r="N265" s="3" t="n"/>
      <c r="AY265" s="3" t="n"/>
    </row>
    <row r="266">
      <c r="A266" s="3" t="n"/>
      <c r="B266" s="3" t="n"/>
      <c r="C266" s="3" t="n"/>
      <c r="D266" s="3" t="n"/>
      <c r="E266" s="3" t="n"/>
      <c r="F266" s="3">
        <f>IF(B266="common", 4, IF(B266="uncommon", 3, IF(B266="rare", 0.73878, 1)))</f>
        <v/>
      </c>
      <c r="I266" s="3" t="n"/>
      <c r="J266" s="3" t="n"/>
      <c r="K266" s="3" t="n"/>
      <c r="L266" s="3" t="n"/>
      <c r="M266" s="3" t="n"/>
      <c r="N266" s="3" t="n"/>
      <c r="AY266" s="3" t="n"/>
    </row>
    <row r="267">
      <c r="A267" s="3" t="n"/>
      <c r="B267" s="3" t="n"/>
      <c r="C267" s="3" t="n"/>
      <c r="D267" s="3" t="n"/>
      <c r="E267" s="3" t="n"/>
      <c r="F267" s="3">
        <f>IF(B267="common", 4, IF(B267="uncommon", 3, IF(B267="rare", 0.73878, 1)))</f>
        <v/>
      </c>
      <c r="I267" s="3" t="n"/>
      <c r="J267" s="3" t="n"/>
      <c r="K267" s="3" t="n"/>
      <c r="L267" s="3" t="n"/>
      <c r="M267" s="3" t="n"/>
      <c r="N267" s="3" t="n"/>
      <c r="AY267" s="3" t="n"/>
    </row>
    <row r="268">
      <c r="A268" s="3" t="n"/>
      <c r="B268" s="3" t="n"/>
      <c r="C268" s="3" t="n"/>
      <c r="D268" s="3" t="n"/>
      <c r="E268" s="3" t="n"/>
      <c r="F268" s="3">
        <f>IF(B268="common", 4, IF(B268="uncommon", 3, IF(B268="rare", 0.73878, 1)))</f>
        <v/>
      </c>
      <c r="I268" s="3" t="n"/>
      <c r="J268" s="3" t="n"/>
      <c r="K268" s="3" t="n"/>
      <c r="L268" s="3" t="n"/>
      <c r="M268" s="3" t="n"/>
      <c r="N268" s="3" t="n"/>
      <c r="AY268" s="3" t="n"/>
    </row>
    <row r="269">
      <c r="A269" s="3" t="n"/>
      <c r="B269" s="3" t="n"/>
      <c r="C269" s="3" t="n"/>
      <c r="D269" s="3" t="n"/>
      <c r="E269" s="3" t="n"/>
      <c r="F269" s="3">
        <f>IF(B269="common", 4, IF(B269="uncommon", 3, IF(B269="rare", 0.73878, 1)))</f>
        <v/>
      </c>
      <c r="I269" s="3" t="n"/>
      <c r="J269" s="3" t="n"/>
      <c r="K269" s="3" t="n"/>
      <c r="L269" s="3" t="n"/>
      <c r="M269" s="3" t="n"/>
      <c r="N269" s="3" t="n"/>
      <c r="AY269" s="3" t="n"/>
    </row>
    <row r="270">
      <c r="A270" s="3" t="n"/>
      <c r="B270" s="3" t="n"/>
      <c r="C270" s="3" t="n"/>
      <c r="D270" s="3" t="n"/>
      <c r="E270" s="3" t="n"/>
      <c r="F270" s="3">
        <f>IF(B270="common", 4, IF(B270="uncommon", 3, IF(B270="rare", 0.73878, 1)))</f>
        <v/>
      </c>
      <c r="I270" s="3" t="n"/>
      <c r="J270" s="3" t="n"/>
      <c r="K270" s="3" t="n"/>
      <c r="L270" s="3" t="n"/>
      <c r="M270" s="3" t="n"/>
      <c r="N270" s="3" t="n"/>
      <c r="AY270" s="3" t="n"/>
    </row>
    <row r="271">
      <c r="A271" s="3" t="n"/>
      <c r="B271" s="3" t="n"/>
      <c r="C271" s="3" t="n"/>
      <c r="D271" s="3" t="n"/>
      <c r="E271" s="3" t="n"/>
      <c r="F271" s="3">
        <f>IF(B271="common", 4, IF(B271="uncommon", 3, IF(B271="rare", 0.73878, 1)))</f>
        <v/>
      </c>
      <c r="I271" s="3" t="n"/>
      <c r="J271" s="3" t="n"/>
      <c r="K271" s="3" t="n"/>
      <c r="L271" s="3" t="n"/>
      <c r="M271" s="3" t="n"/>
      <c r="N271" s="3" t="n"/>
      <c r="AY271" s="3" t="n"/>
    </row>
    <row r="272">
      <c r="A272" s="3" t="n"/>
      <c r="B272" s="3" t="n"/>
      <c r="C272" s="3" t="n"/>
      <c r="D272" s="3" t="n"/>
      <c r="E272" s="3" t="n"/>
      <c r="F272" s="3">
        <f>IF(B272="common", 4, IF(B272="uncommon", 3, IF(B272="rare", 0.73878, 1)))</f>
        <v/>
      </c>
      <c r="I272" s="3" t="n"/>
      <c r="J272" s="3" t="n"/>
      <c r="K272" s="3" t="n"/>
      <c r="L272" s="3" t="n"/>
      <c r="M272" s="3" t="n"/>
      <c r="N272" s="3" t="n"/>
      <c r="AY272" s="3" t="n"/>
    </row>
    <row r="273">
      <c r="A273" s="3" t="n"/>
      <c r="B273" s="3" t="n"/>
      <c r="C273" s="3" t="n"/>
      <c r="D273" s="3" t="n"/>
      <c r="E273" s="3" t="n"/>
      <c r="F273" s="3">
        <f>IF(B273="common", 4, IF(B273="uncommon", 3, IF(B273="rare", 0.73878, 1)))</f>
        <v/>
      </c>
      <c r="I273" s="3" t="n"/>
      <c r="J273" s="3" t="n"/>
      <c r="K273" s="3" t="n"/>
      <c r="L273" s="3" t="n"/>
      <c r="M273" s="3" t="n"/>
      <c r="N273" s="3" t="n"/>
      <c r="AY273" s="3" t="n"/>
    </row>
    <row r="274">
      <c r="A274" s="3" t="n"/>
      <c r="B274" s="3" t="n"/>
      <c r="C274" s="3" t="n"/>
      <c r="D274" s="3" t="n"/>
      <c r="E274" s="3" t="n"/>
      <c r="F274" s="3">
        <f>IF(B274="common", 4, IF(B274="uncommon", 3, IF(B274="rare", 0.73878, 1)))</f>
        <v/>
      </c>
      <c r="I274" s="3" t="n"/>
      <c r="J274" s="3" t="n"/>
      <c r="K274" s="3" t="n"/>
      <c r="L274" s="3" t="n"/>
      <c r="M274" s="3" t="n"/>
      <c r="N274" s="3" t="n"/>
      <c r="AY274" s="3" t="n"/>
    </row>
    <row r="275">
      <c r="A275" s="3" t="n"/>
      <c r="B275" s="3" t="n"/>
      <c r="C275" s="3" t="n"/>
      <c r="D275" s="3" t="n"/>
      <c r="E275" s="3" t="n"/>
      <c r="F275" s="3">
        <f>IF(B275="common", 4, IF(B275="uncommon", 3, IF(B275="rare", 0.73878, 1)))</f>
        <v/>
      </c>
      <c r="I275" s="3" t="n"/>
      <c r="J275" s="3" t="n"/>
      <c r="K275" s="3" t="n"/>
      <c r="L275" s="3" t="n"/>
      <c r="M275" s="3" t="n"/>
      <c r="N275" s="3" t="n"/>
      <c r="AY275" s="3" t="n"/>
    </row>
    <row r="276">
      <c r="A276" s="3" t="n"/>
      <c r="B276" s="3" t="n"/>
      <c r="C276" s="3" t="n"/>
      <c r="D276" s="3" t="n"/>
      <c r="E276" s="3" t="n"/>
      <c r="F276" s="3">
        <f>IF(B276="common", 4, IF(B276="uncommon", 3, IF(B276="rare", 0.73878, 1)))</f>
        <v/>
      </c>
      <c r="I276" s="3" t="n"/>
      <c r="J276" s="3" t="n"/>
      <c r="K276" s="3" t="n"/>
      <c r="L276" s="3" t="n"/>
      <c r="M276" s="3" t="n"/>
      <c r="N276" s="3" t="n"/>
      <c r="AY276" s="3" t="n"/>
    </row>
    <row r="277">
      <c r="A277" s="3" t="n"/>
      <c r="B277" s="3" t="n"/>
      <c r="C277" s="3" t="n"/>
      <c r="D277" s="3" t="n"/>
      <c r="E277" s="3" t="n"/>
      <c r="F277" s="3">
        <f>IF(B277="common", 4, IF(B277="uncommon", 3, IF(B277="rare", 0.73878, 1)))</f>
        <v/>
      </c>
      <c r="I277" s="3" t="n"/>
      <c r="J277" s="3" t="n"/>
      <c r="K277" s="3" t="n"/>
      <c r="L277" s="3" t="n"/>
      <c r="M277" s="3" t="n"/>
      <c r="N277" s="3" t="n"/>
      <c r="AY277" s="3" t="n"/>
    </row>
    <row r="278">
      <c r="A278" s="3" t="n"/>
      <c r="B278" s="3" t="n"/>
      <c r="C278" s="3" t="n"/>
      <c r="D278" s="3" t="n"/>
      <c r="E278" s="3" t="n"/>
      <c r="F278" s="3">
        <f>IF(B278="common", 4, IF(B278="uncommon", 3, IF(B278="rare", 0.73878, 1)))</f>
        <v/>
      </c>
      <c r="I278" s="3" t="n"/>
      <c r="J278" s="3" t="n"/>
      <c r="K278" s="3" t="n"/>
      <c r="L278" s="3" t="n"/>
      <c r="M278" s="3" t="n"/>
      <c r="N278" s="3" t="n"/>
      <c r="AY278" s="3" t="n"/>
    </row>
    <row r="279">
      <c r="A279" s="3" t="n"/>
      <c r="B279" s="3" t="n"/>
      <c r="C279" s="3" t="n"/>
      <c r="D279" s="3" t="n"/>
      <c r="E279" s="3" t="n"/>
      <c r="F279" s="3">
        <f>IF(B279="common", 4, IF(B279="uncommon", 3, IF(B279="rare", 0.73878, 1)))</f>
        <v/>
      </c>
      <c r="I279" s="3" t="n"/>
      <c r="J279" s="3" t="n"/>
      <c r="K279" s="3" t="n"/>
      <c r="L279" s="3" t="n"/>
      <c r="M279" s="3" t="n"/>
      <c r="N279" s="3" t="n"/>
      <c r="AY279" s="3" t="n"/>
    </row>
    <row r="280">
      <c r="A280" s="3" t="n"/>
      <c r="B280" s="3" t="n"/>
      <c r="C280" s="3" t="n"/>
      <c r="D280" s="3" t="n"/>
      <c r="E280" s="3" t="n"/>
      <c r="F280" s="3">
        <f>IF(B280="common", 4, IF(B280="uncommon", 3, IF(B280="rare", 0.73878, 1)))</f>
        <v/>
      </c>
      <c r="I280" s="3" t="n"/>
      <c r="J280" s="3" t="n"/>
      <c r="K280" s="3" t="n"/>
      <c r="L280" s="3" t="n"/>
      <c r="M280" s="3" t="n"/>
      <c r="N280" s="3" t="n"/>
      <c r="AY280" s="3" t="n"/>
    </row>
    <row r="281">
      <c r="A281" s="3" t="n"/>
      <c r="B281" s="3" t="n"/>
      <c r="C281" s="3" t="n"/>
      <c r="D281" s="3" t="n"/>
      <c r="E281" s="3" t="n"/>
      <c r="F281" s="3">
        <f>IF(B281="common", 4, IF(B281="uncommon", 3, IF(B281="rare", 0.73878, 1)))</f>
        <v/>
      </c>
      <c r="I281" s="3" t="n"/>
      <c r="J281" s="3" t="n"/>
      <c r="K281" s="3" t="n"/>
      <c r="L281" s="3" t="n"/>
      <c r="M281" s="3" t="n"/>
      <c r="N281" s="3" t="n"/>
      <c r="AY281" s="3" t="n"/>
    </row>
    <row r="282">
      <c r="A282" s="3" t="n"/>
      <c r="B282" s="3" t="n"/>
      <c r="C282" s="3" t="n"/>
      <c r="D282" s="3" t="n"/>
      <c r="E282" s="3" t="n"/>
      <c r="F282" s="3">
        <f>IF(B282="common", 4, IF(B282="uncommon", 3, IF(B282="rare", 0.73878, 1)))</f>
        <v/>
      </c>
      <c r="I282" s="3" t="n"/>
      <c r="J282" s="3" t="n"/>
      <c r="K282" s="3" t="n"/>
      <c r="L282" s="3" t="n"/>
      <c r="M282" s="3" t="n"/>
      <c r="N282" s="3" t="n"/>
      <c r="AY282" s="3" t="n"/>
    </row>
    <row r="283">
      <c r="A283" s="3" t="n"/>
      <c r="B283" s="3" t="n"/>
      <c r="C283" s="3" t="n"/>
      <c r="D283" s="3" t="n"/>
      <c r="E283" s="3" t="n"/>
      <c r="F283" s="3">
        <f>IF(B283="common", 4, IF(B283="uncommon", 3, IF(B283="rare", 0.73878, 1)))</f>
        <v/>
      </c>
      <c r="I283" s="3" t="n"/>
      <c r="J283" s="3" t="n"/>
      <c r="K283" s="3" t="n"/>
      <c r="L283" s="3" t="n"/>
      <c r="M283" s="3" t="n"/>
      <c r="N283" s="3" t="n"/>
      <c r="AY283" s="3" t="n"/>
    </row>
    <row r="284">
      <c r="A284" s="3" t="n"/>
      <c r="B284" s="3" t="n"/>
      <c r="C284" s="3" t="n"/>
      <c r="D284" s="3" t="n"/>
      <c r="E284" s="3" t="n"/>
      <c r="F284" s="3">
        <f>IF(B284="common", 4, IF(B284="uncommon", 3, IF(B284="rare", 0.73878, 1)))</f>
        <v/>
      </c>
      <c r="I284" s="3" t="n"/>
      <c r="J284" s="3" t="n"/>
      <c r="K284" s="3" t="n"/>
      <c r="L284" s="3" t="n"/>
      <c r="M284" s="3" t="n"/>
      <c r="N284" s="3" t="n"/>
      <c r="AY284" s="3" t="n"/>
    </row>
    <row r="285">
      <c r="A285" s="3" t="n"/>
      <c r="B285" s="3" t="n"/>
      <c r="C285" s="3" t="n"/>
      <c r="D285" s="3" t="n"/>
      <c r="E285" s="3" t="n"/>
      <c r="F285" s="3">
        <f>IF(B285="common", 4, IF(B285="uncommon", 3, IF(B285="rare", 0.73878, 1)))</f>
        <v/>
      </c>
      <c r="I285" s="3" t="n"/>
      <c r="J285" s="3" t="n"/>
      <c r="K285" s="3" t="n"/>
      <c r="L285" s="3" t="n"/>
      <c r="M285" s="3" t="n"/>
      <c r="N285" s="3" t="n"/>
      <c r="AY285" s="3" t="n"/>
    </row>
    <row r="286">
      <c r="A286" s="3" t="n"/>
      <c r="B286" s="3" t="n"/>
      <c r="C286" s="3" t="n"/>
      <c r="D286" s="3" t="n"/>
      <c r="E286" s="3" t="n"/>
      <c r="F286" s="3">
        <f>IF(B286="common", 4, IF(B286="uncommon", 3, IF(B286="rare", 0.73878, 1)))</f>
        <v/>
      </c>
      <c r="I286" s="3" t="n"/>
      <c r="J286" s="3" t="n"/>
      <c r="K286" s="3" t="n"/>
      <c r="L286" s="3" t="n"/>
      <c r="M286" s="3" t="n"/>
      <c r="N286" s="3" t="n"/>
      <c r="AY286" s="3" t="n"/>
    </row>
    <row r="287">
      <c r="A287" s="3" t="n"/>
      <c r="B287" s="3" t="n"/>
      <c r="C287" s="3" t="n"/>
      <c r="D287" s="3" t="n"/>
      <c r="E287" s="3" t="n"/>
      <c r="F287" s="3">
        <f>IF(B287="common", 4, IF(B287="uncommon", 3, IF(B287="rare", 0.73878, 1)))</f>
        <v/>
      </c>
      <c r="I287" s="3" t="n"/>
      <c r="J287" s="3" t="n"/>
      <c r="K287" s="3" t="n"/>
      <c r="L287" s="3" t="n"/>
      <c r="M287" s="3" t="n"/>
      <c r="N287" s="3" t="n"/>
      <c r="AY287" s="3" t="n"/>
    </row>
    <row r="288">
      <c r="A288" s="3" t="n"/>
      <c r="B288" s="3" t="n"/>
      <c r="C288" s="3" t="n"/>
      <c r="D288" s="3" t="n"/>
      <c r="E288" s="3" t="n"/>
      <c r="F288" s="3">
        <f>IF(B288="common", 4, IF(B288="uncommon", 3, IF(B288="rare", 0.73878, 1)))</f>
        <v/>
      </c>
      <c r="I288" s="3" t="n"/>
      <c r="J288" s="3" t="n"/>
      <c r="K288" s="3" t="n"/>
      <c r="L288" s="3" t="n"/>
      <c r="M288" s="3" t="n"/>
      <c r="N288" s="3" t="n"/>
      <c r="AY288" s="3" t="n"/>
    </row>
    <row r="289">
      <c r="A289" s="3" t="n"/>
      <c r="B289" s="3" t="n"/>
      <c r="C289" s="3" t="n"/>
      <c r="D289" s="3" t="n"/>
      <c r="E289" s="3" t="n"/>
      <c r="F289" s="3">
        <f>IF(B289="common", 4, IF(B289="uncommon", 3, IF(B289="rare", 0.73878, 1)))</f>
        <v/>
      </c>
      <c r="I289" s="3" t="n"/>
      <c r="J289" s="3" t="n"/>
      <c r="K289" s="3" t="n"/>
      <c r="L289" s="3" t="n"/>
      <c r="M289" s="3" t="n"/>
      <c r="N289" s="3" t="n"/>
      <c r="AY289" s="3" t="n"/>
    </row>
    <row r="290">
      <c r="A290" s="3" t="n"/>
      <c r="B290" s="3" t="n"/>
      <c r="C290" s="3" t="n"/>
      <c r="D290" s="3" t="n"/>
      <c r="E290" s="3" t="n"/>
      <c r="F290" s="3">
        <f>IF(B290="common", 4, IF(B290="uncommon", 3, IF(B290="rare", 0.73878, 1)))</f>
        <v/>
      </c>
      <c r="I290" s="3" t="n"/>
      <c r="J290" s="3" t="n"/>
      <c r="K290" s="3" t="n"/>
      <c r="L290" s="3" t="n"/>
      <c r="M290" s="3" t="n"/>
      <c r="N290" s="3" t="n"/>
      <c r="AY290" s="3" t="n"/>
    </row>
    <row r="291">
      <c r="A291" s="3" t="n"/>
      <c r="B291" s="3" t="n"/>
      <c r="C291" s="3" t="n"/>
      <c r="D291" s="3" t="n"/>
      <c r="E291" s="3" t="n"/>
      <c r="F291" s="3">
        <f>IF(B291="common", 4, IF(B291="uncommon", 3, IF(B291="rare", 0.73878, 1)))</f>
        <v/>
      </c>
      <c r="I291" s="3" t="n"/>
      <c r="J291" s="3" t="n"/>
      <c r="K291" s="3" t="n"/>
      <c r="L291" s="3" t="n"/>
      <c r="M291" s="3" t="n"/>
      <c r="N291" s="3" t="n"/>
      <c r="AY291" s="3" t="n"/>
    </row>
    <row r="292">
      <c r="A292" s="3" t="n"/>
      <c r="B292" s="3" t="n"/>
      <c r="C292" s="3" t="n"/>
      <c r="D292" s="3" t="n"/>
      <c r="E292" s="3" t="n"/>
      <c r="F292" s="3">
        <f>IF(B292="common", 4, IF(B292="uncommon", 3, IF(B292="rare", 0.73878, 1)))</f>
        <v/>
      </c>
      <c r="I292" s="3" t="n"/>
      <c r="J292" s="3" t="n"/>
      <c r="K292" s="3" t="n"/>
      <c r="L292" s="3" t="n"/>
      <c r="M292" s="3" t="n"/>
      <c r="N292" s="3" t="n"/>
      <c r="AY292" s="3" t="n"/>
    </row>
    <row r="293">
      <c r="A293" s="3" t="n"/>
      <c r="B293" s="3" t="n"/>
      <c r="C293" s="3" t="n"/>
      <c r="D293" s="3" t="n"/>
      <c r="E293" s="3" t="n"/>
      <c r="F293" s="3">
        <f>IF(B293="common", 4, IF(B293="uncommon", 3, IF(B293="rare", 0.73878, 1)))</f>
        <v/>
      </c>
      <c r="I293" s="3" t="n"/>
      <c r="J293" s="3" t="n"/>
      <c r="K293" s="3" t="n"/>
      <c r="L293" s="3" t="n"/>
      <c r="M293" s="3" t="n"/>
      <c r="N293" s="3" t="n"/>
      <c r="AY293" s="3" t="n"/>
    </row>
    <row r="294">
      <c r="A294" s="3" t="n"/>
      <c r="B294" s="3" t="n"/>
      <c r="C294" s="3" t="n"/>
      <c r="D294" s="3" t="n"/>
      <c r="E294" s="3" t="n"/>
      <c r="F294" s="3">
        <f>IF(B294="common", 4, IF(B294="uncommon", 3, IF(B294="rare", 0.73878, 1)))</f>
        <v/>
      </c>
      <c r="I294" s="3" t="n"/>
      <c r="J294" s="3" t="n"/>
      <c r="K294" s="3" t="n"/>
      <c r="L294" s="3" t="n"/>
      <c r="M294" s="3" t="n"/>
      <c r="N294" s="3" t="n"/>
      <c r="AY294" s="3" t="n"/>
    </row>
    <row r="295">
      <c r="A295" s="3" t="n"/>
      <c r="B295" s="3" t="n"/>
      <c r="C295" s="3" t="n"/>
      <c r="D295" s="3" t="n"/>
      <c r="E295" s="3" t="n"/>
      <c r="F295" s="3">
        <f>IF(B295="common", 4, IF(B295="uncommon", 3, IF(B295="rare", 0.73878, 1)))</f>
        <v/>
      </c>
      <c r="I295" s="3" t="n"/>
      <c r="J295" s="3" t="n"/>
      <c r="K295" s="3" t="n"/>
      <c r="L295" s="3" t="n"/>
      <c r="M295" s="3" t="n"/>
      <c r="N295" s="3" t="n"/>
      <c r="AY295" s="3" t="n"/>
    </row>
    <row r="296">
      <c r="A296" s="3" t="n"/>
      <c r="B296" s="3" t="n"/>
      <c r="C296" s="3" t="n"/>
      <c r="D296" s="3" t="n"/>
      <c r="E296" s="3" t="n"/>
      <c r="F296" s="3">
        <f>IF(B296="common", 4, IF(B296="uncommon", 3, IF(B296="rare", 0.73878, 1)))</f>
        <v/>
      </c>
      <c r="I296" s="3" t="n"/>
      <c r="J296" s="3" t="n"/>
      <c r="K296" s="3" t="n"/>
      <c r="L296" s="3" t="n"/>
      <c r="M296" s="3" t="n"/>
      <c r="N296" s="3" t="n"/>
      <c r="AY296" s="3" t="n"/>
    </row>
    <row r="297">
      <c r="A297" s="3" t="n"/>
      <c r="B297" s="3" t="n"/>
      <c r="C297" s="3" t="n"/>
      <c r="D297" s="3" t="n"/>
      <c r="E297" s="3" t="n"/>
      <c r="F297" s="3">
        <f>IF(B297="common", 4, IF(B297="uncommon", 3, IF(B297="rare", 0.73878, 1)))</f>
        <v/>
      </c>
      <c r="I297" s="3" t="n"/>
      <c r="J297" s="3" t="n"/>
      <c r="K297" s="3" t="n"/>
      <c r="L297" s="3" t="n"/>
      <c r="M297" s="3" t="n"/>
      <c r="N297" s="3" t="n"/>
      <c r="AY297" s="3" t="n"/>
    </row>
    <row r="298">
      <c r="A298" s="3" t="n"/>
      <c r="B298" s="3" t="n"/>
      <c r="C298" s="3" t="n"/>
      <c r="D298" s="3" t="n"/>
      <c r="E298" s="3" t="n"/>
      <c r="F298" s="3">
        <f>IF(B298="common", 4, IF(B298="uncommon", 3, IF(B298="rare", 0.73878, 1)))</f>
        <v/>
      </c>
      <c r="I298" s="3" t="n"/>
      <c r="J298" s="3" t="n"/>
      <c r="K298" s="3" t="n"/>
      <c r="L298" s="3" t="n"/>
      <c r="M298" s="3" t="n"/>
      <c r="N298" s="3" t="n"/>
      <c r="AY298" s="3" t="n"/>
    </row>
    <row r="299">
      <c r="A299" s="3" t="n"/>
      <c r="B299" s="3" t="n"/>
      <c r="C299" s="3" t="n"/>
      <c r="D299" s="3" t="n"/>
      <c r="E299" s="3" t="n"/>
      <c r="F299" s="3">
        <f>IF(B299="common", 4, IF(B299="uncommon", 3, IF(B299="rare", 0.73878, 1)))</f>
        <v/>
      </c>
      <c r="I299" s="3" t="n"/>
      <c r="J299" s="3" t="n"/>
      <c r="K299" s="3" t="n"/>
      <c r="L299" s="3" t="n"/>
      <c r="M299" s="3" t="n"/>
      <c r="N299" s="3" t="n"/>
      <c r="AY299" s="3" t="n"/>
    </row>
    <row r="300">
      <c r="A300" s="3" t="n"/>
      <c r="B300" s="3" t="n"/>
      <c r="C300" s="3" t="n"/>
      <c r="D300" s="3" t="n"/>
      <c r="E300" s="3" t="n"/>
      <c r="F300" s="3">
        <f>IF(B300="common", 4, IF(B300="uncommon", 3, IF(B300="rare", 0.73878, 1)))</f>
        <v/>
      </c>
      <c r="I300" s="3" t="n"/>
      <c r="J300" s="3" t="n"/>
      <c r="K300" s="3" t="n"/>
      <c r="L300" s="3" t="n"/>
      <c r="M300" s="3" t="n"/>
      <c r="N300" s="3" t="n"/>
      <c r="AY300" s="3" t="n"/>
    </row>
    <row r="301">
      <c r="A301" s="3" t="n"/>
      <c r="B301" s="3" t="n"/>
      <c r="C301" s="3" t="n"/>
      <c r="D301" s="3" t="n"/>
      <c r="E301" s="3" t="n"/>
      <c r="F301" s="3">
        <f>IF(B301="common", 4, IF(B301="uncommon", 3, IF(B301="rare", 0.73878, 1)))</f>
        <v/>
      </c>
      <c r="I301" s="3" t="n"/>
      <c r="J301" s="3" t="n"/>
      <c r="K301" s="3" t="n"/>
      <c r="L301" s="3" t="n"/>
      <c r="M301" s="3" t="n"/>
      <c r="N301" s="3" t="n"/>
      <c r="AY301" s="3" t="n"/>
    </row>
    <row r="302">
      <c r="A302" s="3" t="n"/>
      <c r="B302" s="3" t="n"/>
      <c r="C302" s="3" t="n"/>
      <c r="D302" s="3" t="n"/>
      <c r="E302" s="3" t="n"/>
      <c r="F302" s="3">
        <f>IF(B302="common", 4, IF(B302="uncommon", 3, IF(B302="rare", 0.73878, 1)))</f>
        <v/>
      </c>
      <c r="I302" s="3" t="n"/>
      <c r="J302" s="3" t="n"/>
      <c r="K302" s="3" t="n"/>
      <c r="L302" s="3" t="n"/>
      <c r="M302" s="3" t="n"/>
      <c r="N302" s="3" t="n"/>
      <c r="AY302" s="3" t="n"/>
    </row>
    <row r="303">
      <c r="A303" s="3" t="n"/>
      <c r="B303" s="3" t="n"/>
      <c r="C303" s="3" t="n"/>
      <c r="D303" s="3" t="n"/>
      <c r="E303" s="3" t="n"/>
      <c r="F303" s="3">
        <f>IF(B303="common", 4, IF(B303="uncommon", 3, IF(B303="rare", 0.73878, 1)))</f>
        <v/>
      </c>
      <c r="I303" s="3" t="n"/>
      <c r="J303" s="3" t="n"/>
      <c r="K303" s="3" t="n"/>
      <c r="L303" s="3" t="n"/>
      <c r="M303" s="3" t="n"/>
      <c r="N303" s="3" t="n"/>
      <c r="AY303" s="3" t="n"/>
    </row>
    <row r="304">
      <c r="A304" s="3" t="n"/>
      <c r="B304" s="3" t="n"/>
      <c r="C304" s="3" t="n"/>
      <c r="D304" s="3" t="n"/>
      <c r="E304" s="3" t="n"/>
      <c r="F304" s="3">
        <f>IF(B304="common", 4, IF(B304="uncommon", 3, IF(B304="rare", 0.73878, 1)))</f>
        <v/>
      </c>
      <c r="I304" s="3" t="n"/>
      <c r="J304" s="3" t="n"/>
      <c r="K304" s="3" t="n"/>
      <c r="L304" s="3" t="n"/>
      <c r="M304" s="3" t="n"/>
      <c r="N304" s="3" t="n"/>
      <c r="AY304" s="3" t="n"/>
    </row>
    <row r="305">
      <c r="A305" s="3" t="n"/>
      <c r="B305" s="3" t="n"/>
      <c r="C305" s="3" t="n"/>
      <c r="D305" s="3" t="n"/>
      <c r="E305" s="3" t="n"/>
      <c r="F305" s="3">
        <f>IF(B305="common", 4, IF(B305="uncommon", 3, IF(B305="rare", 0.73878, 1)))</f>
        <v/>
      </c>
      <c r="I305" s="3" t="n"/>
      <c r="J305" s="3" t="n"/>
      <c r="K305" s="3" t="n"/>
      <c r="L305" s="3" t="n"/>
      <c r="M305" s="3" t="n"/>
      <c r="N305" s="3" t="n"/>
      <c r="AY305" s="3" t="n"/>
    </row>
    <row r="306">
      <c r="A306" s="3" t="n"/>
      <c r="B306" s="3" t="n"/>
      <c r="C306" s="3" t="n"/>
      <c r="D306" s="3" t="n"/>
      <c r="E306" s="3" t="n"/>
      <c r="F306" s="3">
        <f>IF(B306="common", 4, IF(B306="uncommon", 3, IF(B306="rare", 0.73878, 1)))</f>
        <v/>
      </c>
      <c r="I306" s="3" t="n"/>
      <c r="J306" s="3" t="n"/>
      <c r="K306" s="3" t="n"/>
      <c r="L306" s="3" t="n"/>
      <c r="M306" s="3" t="n"/>
      <c r="N306" s="3" t="n"/>
      <c r="AY306" s="3" t="n"/>
    </row>
    <row r="307">
      <c r="A307" s="3" t="n"/>
      <c r="B307" s="3" t="n"/>
      <c r="C307" s="3" t="n"/>
      <c r="D307" s="3" t="n"/>
      <c r="E307" s="3" t="n"/>
      <c r="F307" s="3">
        <f>IF(B307="common", 4, IF(B307="uncommon", 3, IF(B307="rare", 0.73878, 1)))</f>
        <v/>
      </c>
      <c r="I307" s="3" t="n"/>
      <c r="J307" s="3" t="n"/>
      <c r="K307" s="3" t="n"/>
      <c r="L307" s="3" t="n"/>
      <c r="M307" s="3" t="n"/>
      <c r="N307" s="3" t="n"/>
      <c r="AY307" s="3" t="n"/>
    </row>
    <row r="308">
      <c r="A308" s="3" t="n"/>
      <c r="B308" s="3" t="n"/>
      <c r="C308" s="3" t="n"/>
      <c r="D308" s="3" t="n"/>
      <c r="E308" s="3" t="n"/>
      <c r="F308" s="3">
        <f>IF(B308="common", 4, IF(B308="uncommon", 3, IF(B308="rare", 0.73878, 1)))</f>
        <v/>
      </c>
      <c r="I308" s="3" t="n"/>
      <c r="J308" s="3" t="n"/>
      <c r="K308" s="3" t="n"/>
      <c r="L308" s="3" t="n"/>
      <c r="M308" s="3" t="n"/>
      <c r="N308" s="3" t="n"/>
      <c r="AY308" s="3" t="n"/>
    </row>
    <row r="309">
      <c r="A309" s="3" t="n"/>
      <c r="B309" s="3" t="n"/>
      <c r="C309" s="3" t="n"/>
      <c r="D309" s="3" t="n"/>
      <c r="E309" s="3" t="n"/>
      <c r="F309" s="3">
        <f>IF(B309="common", 4, IF(B309="uncommon", 3, IF(B309="rare", 0.73878, 1)))</f>
        <v/>
      </c>
      <c r="I309" s="3" t="n"/>
      <c r="J309" s="3" t="n"/>
      <c r="K309" s="3" t="n"/>
      <c r="L309" s="3" t="n"/>
      <c r="M309" s="3" t="n"/>
      <c r="N309" s="3" t="n"/>
      <c r="AY309" s="3" t="n"/>
    </row>
    <row r="310">
      <c r="A310" s="3" t="n"/>
      <c r="B310" s="3" t="n"/>
      <c r="C310" s="3" t="n"/>
      <c r="D310" s="3" t="n"/>
      <c r="E310" s="3" t="n"/>
      <c r="F310" s="3">
        <f>IF(B310="common", 4, IF(B310="uncommon", 3, IF(B310="rare", 0.73878, 1)))</f>
        <v/>
      </c>
      <c r="I310" s="3" t="n"/>
      <c r="J310" s="3" t="n"/>
      <c r="K310" s="3" t="n"/>
      <c r="L310" s="3" t="n"/>
      <c r="M310" s="3" t="n"/>
      <c r="N310" s="3" t="n"/>
      <c r="AY310" s="3" t="n"/>
    </row>
    <row r="311">
      <c r="A311" s="3" t="n"/>
      <c r="B311" s="3" t="n"/>
      <c r="C311" s="3" t="n"/>
      <c r="D311" s="3" t="n"/>
      <c r="E311" s="3" t="n"/>
      <c r="F311" s="3">
        <f>IF(B311="common", 4, IF(B311="uncommon", 3, IF(B311="rare", 0.73878, 1)))</f>
        <v/>
      </c>
      <c r="I311" s="3" t="n"/>
      <c r="J311" s="3" t="n"/>
      <c r="K311" s="3" t="n"/>
      <c r="L311" s="3" t="n"/>
      <c r="M311" s="3" t="n"/>
      <c r="N311" s="3" t="n"/>
      <c r="AY311" s="3" t="n"/>
    </row>
    <row r="312">
      <c r="A312" s="3" t="n"/>
      <c r="B312" s="3" t="n"/>
      <c r="C312" s="3" t="n"/>
      <c r="D312" s="3" t="n"/>
      <c r="E312" s="3" t="n"/>
      <c r="F312" s="3">
        <f>IF(B312="common", 4, IF(B312="uncommon", 3, IF(B312="rare", 0.73878, 1)))</f>
        <v/>
      </c>
      <c r="I312" s="3" t="n"/>
      <c r="J312" s="3" t="n"/>
      <c r="K312" s="3" t="n"/>
      <c r="L312" s="3" t="n"/>
      <c r="M312" s="3" t="n"/>
      <c r="N312" s="3" t="n"/>
      <c r="AY312" s="3" t="n"/>
    </row>
    <row r="313">
      <c r="A313" s="3" t="n"/>
      <c r="B313" s="3" t="n"/>
      <c r="C313" s="3" t="n"/>
      <c r="D313" s="3" t="n"/>
      <c r="E313" s="3" t="n"/>
      <c r="F313" s="3">
        <f>IF(B313="common", 4, IF(B313="uncommon", 3, IF(B313="rare", 0.73878, 1)))</f>
        <v/>
      </c>
      <c r="I313" s="3" t="n"/>
      <c r="J313" s="3" t="n"/>
      <c r="K313" s="3" t="n"/>
      <c r="L313" s="3" t="n"/>
      <c r="M313" s="3" t="n"/>
      <c r="N313" s="3" t="n"/>
      <c r="AY313" s="3" t="n"/>
    </row>
    <row r="314">
      <c r="A314" s="3" t="n"/>
      <c r="B314" s="3" t="n"/>
      <c r="C314" s="3" t="n"/>
      <c r="D314" s="3" t="n"/>
      <c r="E314" s="3" t="n"/>
      <c r="F314" s="3">
        <f>IF(B314="common", 4, IF(B314="uncommon", 3, IF(B314="rare", 0.73878, 1)))</f>
        <v/>
      </c>
      <c r="I314" s="3" t="n"/>
      <c r="J314" s="3" t="n"/>
      <c r="K314" s="3" t="n"/>
      <c r="L314" s="3" t="n"/>
      <c r="M314" s="3" t="n"/>
      <c r="N314" s="3" t="n"/>
      <c r="AY314" s="3" t="n"/>
    </row>
    <row r="315">
      <c r="A315" s="3" t="n"/>
      <c r="B315" s="3" t="n"/>
      <c r="C315" s="3" t="n"/>
      <c r="D315" s="3" t="n"/>
      <c r="E315" s="3" t="n"/>
      <c r="F315" s="3">
        <f>IF(B315="common", 4, IF(B315="uncommon", 3, IF(B315="rare", 0.73878, 1)))</f>
        <v/>
      </c>
      <c r="I315" s="3" t="n"/>
      <c r="J315" s="3" t="n"/>
      <c r="K315" s="3" t="n"/>
      <c r="L315" s="3" t="n"/>
      <c r="M315" s="3" t="n"/>
      <c r="N315" s="3" t="n"/>
      <c r="AY315" s="3" t="n"/>
    </row>
    <row r="316">
      <c r="A316" s="3" t="n"/>
      <c r="B316" s="3" t="n"/>
      <c r="C316" s="3" t="n"/>
      <c r="D316" s="3" t="n"/>
      <c r="E316" s="3" t="n"/>
      <c r="F316" s="3">
        <f>IF(B316="common", 4, IF(B316="uncommon", 3, IF(B316="rare", 0.73878, 1)))</f>
        <v/>
      </c>
      <c r="I316" s="3" t="n"/>
      <c r="J316" s="3" t="n"/>
      <c r="K316" s="3" t="n"/>
      <c r="L316" s="3" t="n"/>
      <c r="M316" s="3" t="n"/>
      <c r="N316" s="3" t="n"/>
      <c r="AY316" s="3" t="n"/>
    </row>
    <row r="317">
      <c r="A317" s="3" t="n"/>
      <c r="B317" s="3" t="n"/>
      <c r="C317" s="3" t="n"/>
      <c r="D317" s="3" t="n"/>
      <c r="E317" s="3" t="n"/>
      <c r="F317" s="3">
        <f>IF(B317="common", 4, IF(B317="uncommon", 3, IF(B317="rare", 0.73878, 1)))</f>
        <v/>
      </c>
      <c r="I317" s="3" t="n"/>
      <c r="J317" s="3" t="n"/>
      <c r="K317" s="3" t="n"/>
      <c r="L317" s="3" t="n"/>
      <c r="M317" s="3" t="n"/>
      <c r="N317" s="3" t="n"/>
      <c r="AY317" s="3" t="n"/>
    </row>
    <row r="318">
      <c r="A318" s="3" t="n"/>
      <c r="B318" s="3" t="n"/>
      <c r="C318" s="3" t="n"/>
      <c r="D318" s="3" t="n"/>
      <c r="E318" s="3" t="n"/>
      <c r="F318" s="3">
        <f>IF(B318="common", 4, IF(B318="uncommon", 3, IF(B318="rare", 0.73878, 1)))</f>
        <v/>
      </c>
      <c r="I318" s="3" t="n"/>
      <c r="J318" s="3" t="n"/>
      <c r="K318" s="3" t="n"/>
      <c r="L318" s="3" t="n"/>
      <c r="M318" s="3" t="n"/>
      <c r="N318" s="3" t="n"/>
      <c r="AY318" s="3" t="n"/>
    </row>
    <row r="319">
      <c r="A319" s="3" t="n"/>
      <c r="B319" s="3" t="n"/>
      <c r="C319" s="3" t="n"/>
      <c r="D319" s="3" t="n"/>
      <c r="E319" s="3" t="n"/>
      <c r="F319" s="3">
        <f>IF(B319="common", 4, IF(B319="uncommon", 3, IF(B319="rare", 0.73878, 1)))</f>
        <v/>
      </c>
      <c r="I319" s="3" t="n"/>
      <c r="J319" s="3" t="n"/>
      <c r="K319" s="3" t="n"/>
      <c r="L319" s="3" t="n"/>
      <c r="M319" s="3" t="n"/>
      <c r="N319" s="3" t="n"/>
      <c r="AY319" s="3" t="n"/>
    </row>
    <row r="320">
      <c r="A320" s="3" t="n"/>
      <c r="B320" s="3" t="n"/>
      <c r="C320" s="3" t="n"/>
      <c r="D320" s="3" t="n"/>
      <c r="E320" s="3" t="n"/>
      <c r="F320" s="3">
        <f>IF(B320="common", 4, IF(B320="uncommon", 3, IF(B320="rare", 0.73878, 1)))</f>
        <v/>
      </c>
      <c r="I320" s="3" t="n"/>
      <c r="J320" s="3" t="n"/>
      <c r="K320" s="3" t="n"/>
      <c r="L320" s="3" t="n"/>
      <c r="M320" s="3" t="n"/>
      <c r="N320" s="3" t="n"/>
      <c r="AY320" s="3" t="n"/>
    </row>
    <row r="321">
      <c r="A321" s="3" t="n"/>
      <c r="B321" s="3" t="n"/>
      <c r="C321" s="3" t="n"/>
      <c r="D321" s="3" t="n"/>
      <c r="E321" s="3" t="n"/>
      <c r="F321" s="3">
        <f>IF(B321="common", 4, IF(B321="uncommon", 3, IF(B321="rare", 0.73878, 1)))</f>
        <v/>
      </c>
      <c r="I321" s="3" t="n"/>
      <c r="J321" s="3" t="n"/>
      <c r="K321" s="3" t="n"/>
      <c r="L321" s="3" t="n"/>
      <c r="M321" s="3" t="n"/>
      <c r="N321" s="3" t="n"/>
      <c r="AY321" s="3" t="n"/>
    </row>
    <row r="322">
      <c r="A322" s="3" t="n"/>
      <c r="B322" s="3" t="n"/>
      <c r="C322" s="3" t="n"/>
      <c r="D322" s="3" t="n"/>
      <c r="E322" s="3" t="n"/>
      <c r="F322" s="3">
        <f>IF(B322="common", 4, IF(B322="uncommon", 3, IF(B322="rare", 0.73878, 1)))</f>
        <v/>
      </c>
      <c r="I322" s="3" t="n"/>
      <c r="J322" s="3" t="n"/>
      <c r="K322" s="3" t="n"/>
      <c r="L322" s="3" t="n"/>
      <c r="M322" s="3" t="n"/>
      <c r="N322" s="3" t="n"/>
      <c r="AY322" s="3" t="n"/>
    </row>
    <row r="323">
      <c r="A323" s="3" t="n"/>
      <c r="B323" s="3" t="n"/>
      <c r="C323" s="3" t="n"/>
      <c r="D323" s="3" t="n"/>
      <c r="E323" s="3" t="n"/>
      <c r="F323" s="3">
        <f>IF(B323="common", 4, IF(B323="uncommon", 3, IF(B323="rare", 0.73878, 1)))</f>
        <v/>
      </c>
      <c r="I323" s="3" t="n"/>
      <c r="J323" s="3" t="n"/>
      <c r="K323" s="3" t="n"/>
      <c r="L323" s="3" t="n"/>
      <c r="M323" s="3" t="n"/>
      <c r="N323" s="3" t="n"/>
      <c r="AY323" s="3" t="n"/>
    </row>
    <row r="324">
      <c r="A324" s="3" t="n"/>
      <c r="B324" s="3" t="n"/>
      <c r="C324" s="3" t="n"/>
      <c r="D324" s="3" t="n"/>
      <c r="E324" s="3" t="n"/>
      <c r="F324" s="3">
        <f>IF(B324="common", 4, IF(B324="uncommon", 3, IF(B324="rare", 0.73878, 1)))</f>
        <v/>
      </c>
      <c r="I324" s="3" t="n"/>
      <c r="J324" s="3" t="n"/>
      <c r="K324" s="3" t="n"/>
      <c r="L324" s="3" t="n"/>
      <c r="M324" s="3" t="n"/>
      <c r="N324" s="3" t="n"/>
      <c r="AY324" s="3" t="n"/>
    </row>
    <row r="325">
      <c r="A325" s="3" t="n"/>
      <c r="B325" s="3" t="n"/>
      <c r="C325" s="3" t="n"/>
      <c r="D325" s="3" t="n"/>
      <c r="E325" s="3" t="n"/>
      <c r="F325" s="3">
        <f>IF(B325="common", 4, IF(B325="uncommon", 3, IF(B325="rare", 0.73878, 1)))</f>
        <v/>
      </c>
      <c r="I325" s="3" t="n"/>
      <c r="J325" s="3" t="n"/>
      <c r="K325" s="3" t="n"/>
      <c r="L325" s="3" t="n"/>
      <c r="M325" s="3" t="n"/>
      <c r="N325" s="3" t="n"/>
      <c r="AY325" s="3" t="n"/>
    </row>
    <row r="326">
      <c r="A326" s="3" t="n"/>
      <c r="B326" s="3" t="n"/>
      <c r="C326" s="3" t="n"/>
      <c r="D326" s="3" t="n"/>
      <c r="E326" s="3" t="n"/>
      <c r="F326" s="3">
        <f>IF(B326="common", 4, IF(B326="uncommon", 3, IF(B326="rare", 0.73878, 1)))</f>
        <v/>
      </c>
      <c r="I326" s="3" t="n"/>
      <c r="J326" s="3" t="n"/>
      <c r="K326" s="3" t="n"/>
      <c r="L326" s="3" t="n"/>
      <c r="M326" s="3" t="n"/>
      <c r="N326" s="3" t="n"/>
      <c r="AY326" s="3" t="n"/>
    </row>
    <row r="327">
      <c r="A327" s="3" t="n"/>
      <c r="B327" s="3" t="n"/>
      <c r="C327" s="3" t="n"/>
      <c r="D327" s="3" t="n"/>
      <c r="E327" s="3" t="n"/>
      <c r="F327" s="3">
        <f>IF(B327="common", 4, IF(B327="uncommon", 3, IF(B327="rare", 0.73878, 1)))</f>
        <v/>
      </c>
      <c r="I327" s="3" t="n"/>
      <c r="J327" s="3" t="n"/>
      <c r="K327" s="3" t="n"/>
      <c r="L327" s="3" t="n"/>
      <c r="M327" s="3" t="n"/>
      <c r="N327" s="3" t="n"/>
      <c r="AY327" s="3" t="n"/>
    </row>
    <row r="328">
      <c r="A328" s="3" t="n"/>
      <c r="B328" s="3" t="n"/>
      <c r="C328" s="3" t="n"/>
      <c r="D328" s="3" t="n"/>
      <c r="E328" s="3" t="n"/>
      <c r="F328" s="3" t="n"/>
      <c r="I328" s="3" t="n"/>
      <c r="J328" s="3" t="n"/>
      <c r="K328" s="3" t="n"/>
      <c r="L328" s="3" t="n"/>
      <c r="M328" s="3" t="n"/>
      <c r="N328" s="3" t="n"/>
      <c r="AY328" s="3" t="n"/>
    </row>
    <row r="329">
      <c r="A329" s="3" t="n"/>
      <c r="B329" s="3" t="n"/>
      <c r="C329" s="3" t="n"/>
      <c r="D329" s="3" t="n"/>
      <c r="E329" s="3" t="n"/>
      <c r="F329" s="3" t="n"/>
      <c r="I329" s="3" t="n"/>
      <c r="J329" s="3" t="n"/>
      <c r="K329" s="3" t="n"/>
      <c r="L329" s="3" t="n"/>
      <c r="M329" s="3" t="n"/>
      <c r="N329" s="3" t="n"/>
      <c r="AY329" s="3" t="n"/>
    </row>
    <row r="330">
      <c r="A330" s="3" t="n"/>
      <c r="B330" s="3" t="n"/>
      <c r="C330" s="3" t="n"/>
      <c r="D330" s="3" t="n"/>
      <c r="E330" s="3" t="n"/>
      <c r="F330" s="3" t="n"/>
      <c r="I330" s="3" t="n"/>
      <c r="J330" s="3" t="n"/>
      <c r="K330" s="3" t="n"/>
      <c r="L330" s="3" t="n"/>
      <c r="M330" s="3" t="n"/>
      <c r="N330" s="3" t="n"/>
      <c r="AY330" s="3" t="n"/>
    </row>
    <row r="331">
      <c r="A331" s="3" t="n"/>
      <c r="B331" s="3" t="n"/>
      <c r="C331" s="3" t="n"/>
      <c r="D331" s="3" t="n"/>
      <c r="E331" s="3" t="n"/>
      <c r="F331" s="3" t="n"/>
      <c r="I331" s="3" t="n"/>
      <c r="J331" s="3" t="n"/>
      <c r="K331" s="3" t="n"/>
      <c r="L331" s="3" t="n"/>
      <c r="M331" s="3" t="n"/>
      <c r="N331" s="3" t="n"/>
      <c r="AY331" s="3" t="n"/>
    </row>
    <row r="332">
      <c r="A332" s="3" t="n"/>
      <c r="B332" s="3" t="n"/>
      <c r="C332" s="3" t="n"/>
      <c r="D332" s="3" t="n"/>
      <c r="E332" s="3" t="n"/>
      <c r="F332" s="3" t="n"/>
      <c r="I332" s="3" t="n"/>
      <c r="J332" s="3" t="n"/>
      <c r="K332" s="3" t="n"/>
      <c r="L332" s="3" t="n"/>
      <c r="M332" s="3" t="n"/>
      <c r="N332" s="3" t="n"/>
      <c r="AY332" s="3" t="n"/>
    </row>
    <row r="333">
      <c r="A333" s="3" t="n"/>
      <c r="B333" s="3" t="n"/>
      <c r="C333" s="3" t="n"/>
      <c r="D333" s="3" t="n"/>
      <c r="E333" s="3" t="n"/>
      <c r="F333" s="3" t="n"/>
      <c r="I333" s="3" t="n"/>
      <c r="J333" s="3" t="n"/>
      <c r="K333" s="3" t="n"/>
      <c r="L333" s="3" t="n"/>
      <c r="M333" s="3" t="n"/>
      <c r="N333" s="3" t="n"/>
      <c r="AY333" s="3" t="n"/>
    </row>
    <row r="334">
      <c r="A334" s="3" t="n"/>
      <c r="B334" s="3" t="n"/>
      <c r="C334" s="3" t="n"/>
      <c r="D334" s="3" t="n"/>
      <c r="E334" s="3" t="n"/>
      <c r="F334" s="3" t="n"/>
      <c r="I334" s="3" t="n"/>
      <c r="J334" s="3" t="n"/>
      <c r="K334" s="3" t="n"/>
      <c r="L334" s="3" t="n"/>
      <c r="M334" s="3" t="n"/>
      <c r="N334" s="3" t="n"/>
      <c r="AY334" s="3" t="n"/>
    </row>
    <row r="335">
      <c r="A335" s="3" t="n"/>
      <c r="B335" s="3" t="n"/>
      <c r="C335" s="3" t="n"/>
      <c r="D335" s="3" t="n"/>
      <c r="E335" s="3" t="n"/>
      <c r="F335" s="3" t="n"/>
      <c r="I335" s="3" t="n"/>
      <c r="J335" s="3" t="n"/>
      <c r="K335" s="3" t="n"/>
      <c r="L335" s="3" t="n"/>
      <c r="M335" s="3" t="n"/>
      <c r="N335" s="3" t="n"/>
      <c r="AY335" s="3" t="n"/>
    </row>
    <row r="336">
      <c r="A336" s="3" t="n"/>
      <c r="B336" s="3" t="n"/>
      <c r="C336" s="3" t="n"/>
      <c r="D336" s="3" t="n"/>
      <c r="E336" s="3" t="n"/>
      <c r="F336" s="3" t="n"/>
      <c r="I336" s="3" t="n"/>
      <c r="J336" s="3" t="n"/>
      <c r="K336" s="3" t="n"/>
      <c r="L336" s="3" t="n"/>
      <c r="M336" s="3" t="n"/>
      <c r="N336" s="3" t="n"/>
      <c r="AY336" s="3" t="n"/>
    </row>
    <row r="337">
      <c r="A337" s="3" t="n"/>
      <c r="B337" s="3" t="n"/>
      <c r="C337" s="3" t="n"/>
      <c r="D337" s="3" t="n"/>
      <c r="E337" s="3" t="n"/>
      <c r="F337" s="3" t="n"/>
      <c r="I337" s="3" t="n"/>
      <c r="J337" s="3" t="n"/>
      <c r="K337" s="3" t="n"/>
      <c r="L337" s="3" t="n"/>
      <c r="M337" s="3" t="n"/>
      <c r="N337" s="3" t="n"/>
      <c r="AY337" s="3" t="n"/>
    </row>
    <row r="338">
      <c r="A338" s="3" t="n"/>
      <c r="B338" s="3" t="n"/>
      <c r="C338" s="3" t="n"/>
      <c r="D338" s="3" t="n"/>
      <c r="E338" s="3" t="n"/>
      <c r="F338" s="3" t="n"/>
      <c r="I338" s="3" t="n"/>
      <c r="J338" s="3" t="n"/>
      <c r="K338" s="3" t="n"/>
      <c r="L338" s="3" t="n"/>
      <c r="M338" s="3" t="n"/>
      <c r="N338" s="3" t="n"/>
      <c r="AY338" s="3" t="n"/>
    </row>
    <row r="339">
      <c r="A339" s="3" t="n"/>
      <c r="B339" s="3" t="n"/>
      <c r="C339" s="3" t="n"/>
      <c r="D339" s="3" t="n"/>
      <c r="E339" s="3" t="n"/>
      <c r="F339" s="3" t="n"/>
      <c r="I339" s="3" t="n"/>
      <c r="J339" s="3" t="n"/>
      <c r="K339" s="3" t="n"/>
      <c r="L339" s="3" t="n"/>
      <c r="M339" s="3" t="n"/>
      <c r="N339" s="3" t="n"/>
      <c r="AY339" s="3" t="n"/>
    </row>
    <row r="340">
      <c r="A340" s="3" t="n"/>
      <c r="B340" s="3" t="n"/>
      <c r="C340" s="3" t="n"/>
      <c r="D340" s="3" t="n"/>
      <c r="E340" s="3" t="n"/>
      <c r="F340" s="3" t="n"/>
      <c r="I340" s="3" t="n"/>
      <c r="J340" s="3" t="n"/>
      <c r="K340" s="3" t="n"/>
      <c r="L340" s="3" t="n"/>
      <c r="M340" s="3" t="n"/>
      <c r="N340" s="3" t="n"/>
      <c r="AY340" s="3" t="n"/>
    </row>
    <row r="341">
      <c r="A341" s="3" t="n"/>
      <c r="B341" s="3" t="n"/>
      <c r="C341" s="3" t="n"/>
      <c r="D341" s="3" t="n"/>
      <c r="E341" s="3" t="n"/>
      <c r="F341" s="3" t="n"/>
      <c r="I341" s="3" t="n"/>
      <c r="J341" s="3" t="n"/>
      <c r="K341" s="3" t="n"/>
      <c r="L341" s="3" t="n"/>
      <c r="M341" s="3" t="n"/>
      <c r="N341" s="3" t="n"/>
      <c r="AY341" s="3" t="n"/>
    </row>
    <row r="342">
      <c r="A342" s="3" t="n"/>
      <c r="B342" s="3" t="n"/>
      <c r="C342" s="3" t="n"/>
      <c r="D342" s="3" t="n"/>
      <c r="E342" s="3" t="n"/>
      <c r="F342" s="3" t="n"/>
      <c r="I342" s="3" t="n"/>
      <c r="J342" s="3" t="n"/>
      <c r="K342" s="3" t="n"/>
      <c r="L342" s="3" t="n"/>
      <c r="M342" s="3" t="n"/>
      <c r="N342" s="3" t="n"/>
      <c r="AY342" s="3" t="n"/>
    </row>
    <row r="343">
      <c r="A343" s="3" t="n"/>
      <c r="B343" s="3" t="n"/>
      <c r="C343" s="3" t="n"/>
      <c r="D343" s="3" t="n"/>
      <c r="E343" s="3" t="n"/>
      <c r="F343" s="3" t="n"/>
      <c r="I343" s="3" t="n"/>
      <c r="J343" s="3" t="n"/>
      <c r="K343" s="3" t="n"/>
      <c r="L343" s="3" t="n"/>
      <c r="M343" s="3" t="n"/>
      <c r="N343" s="3" t="n"/>
      <c r="AY343" s="3" t="n"/>
    </row>
    <row r="344">
      <c r="A344" s="3" t="n"/>
      <c r="B344" s="3" t="n"/>
      <c r="C344" s="3" t="n"/>
      <c r="D344" s="3" t="n"/>
      <c r="E344" s="3" t="n"/>
      <c r="F344" s="3" t="n"/>
      <c r="I344" s="3" t="n"/>
      <c r="J344" s="3" t="n"/>
      <c r="K344" s="3" t="n"/>
      <c r="L344" s="3" t="n"/>
      <c r="M344" s="3" t="n"/>
      <c r="N344" s="3" t="n"/>
      <c r="AY344" s="3" t="n"/>
    </row>
    <row r="345">
      <c r="A345" s="3" t="n"/>
      <c r="B345" s="3" t="n"/>
      <c r="C345" s="3" t="n"/>
      <c r="D345" s="3" t="n"/>
      <c r="E345" s="3" t="n"/>
      <c r="F345" s="3" t="n"/>
      <c r="I345" s="3" t="n"/>
      <c r="J345" s="3" t="n"/>
      <c r="K345" s="3" t="n"/>
      <c r="L345" s="3" t="n"/>
      <c r="M345" s="3" t="n"/>
      <c r="N345" s="3" t="n"/>
      <c r="AY345" s="3" t="n"/>
    </row>
    <row r="346">
      <c r="A346" s="3" t="n"/>
      <c r="B346" s="3" t="n"/>
      <c r="C346" s="3" t="n"/>
      <c r="D346" s="3" t="n"/>
      <c r="E346" s="3" t="n"/>
      <c r="F346" s="3" t="n"/>
      <c r="I346" s="3" t="n"/>
      <c r="J346" s="3" t="n"/>
      <c r="K346" s="3" t="n"/>
      <c r="L346" s="3" t="n"/>
      <c r="M346" s="3" t="n"/>
      <c r="N346" s="3" t="n"/>
      <c r="AY346" s="3" t="n"/>
    </row>
    <row r="347">
      <c r="A347" s="3" t="n"/>
      <c r="B347" s="3" t="n"/>
      <c r="C347" s="3" t="n"/>
      <c r="D347" s="3" t="n"/>
      <c r="E347" s="3" t="n"/>
      <c r="F347" s="3" t="n"/>
      <c r="I347" s="3" t="n"/>
      <c r="J347" s="3" t="n"/>
      <c r="K347" s="3" t="n"/>
      <c r="L347" s="3" t="n"/>
      <c r="M347" s="3" t="n"/>
      <c r="N347" s="3" t="n"/>
      <c r="AY347" s="3" t="n"/>
    </row>
    <row r="348">
      <c r="A348" s="3" t="n"/>
      <c r="B348" s="3" t="n"/>
      <c r="C348" s="3" t="n"/>
      <c r="D348" s="3" t="n"/>
      <c r="E348" s="3" t="n"/>
      <c r="F348" s="3" t="n"/>
      <c r="I348" s="3" t="n"/>
      <c r="J348" s="3" t="n"/>
      <c r="K348" s="3" t="n"/>
      <c r="L348" s="3" t="n"/>
      <c r="M348" s="3" t="n"/>
      <c r="N348" s="3" t="n"/>
      <c r="AY348" s="3" t="n"/>
    </row>
    <row r="349">
      <c r="A349" s="3" t="n"/>
      <c r="B349" s="3" t="n"/>
      <c r="C349" s="3" t="n"/>
      <c r="D349" s="3" t="n"/>
      <c r="F349" s="2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</cols>
  <sheetData>
    <row r="1">
      <c r="A1" s="12" t="inlineStr">
        <is>
          <t>Metric</t>
        </is>
      </c>
      <c r="B1" s="12" t="inlineStr">
        <is>
          <t>Value</t>
        </is>
      </c>
    </row>
    <row r="2">
      <c r="A2" s="13" t="inlineStr">
        <is>
          <t>ev_common_total</t>
        </is>
      </c>
      <c r="B2" s="14" t="n">
        <v>0.289</v>
      </c>
    </row>
    <row r="3">
      <c r="A3" s="13" t="inlineStr">
        <is>
          <t>ev_uncommon_total</t>
        </is>
      </c>
      <c r="B3" s="14" t="n">
        <v>0.2784</v>
      </c>
    </row>
    <row r="4">
      <c r="A4" s="13" t="inlineStr">
        <is>
          <t>ev_rare_total</t>
        </is>
      </c>
      <c r="B4" s="14" t="n">
        <v>0.089125</v>
      </c>
    </row>
    <row r="5">
      <c r="A5" s="13" t="inlineStr">
        <is>
          <t>ev_reverse_total</t>
        </is>
      </c>
      <c r="B5" s="14" t="n">
        <v>0.2757071341572639</v>
      </c>
    </row>
    <row r="6">
      <c r="A6" s="13" t="inlineStr">
        <is>
          <t>ev_ace_spec_total</t>
        </is>
      </c>
      <c r="B6" s="14" t="n">
        <v>0</v>
      </c>
    </row>
    <row r="7">
      <c r="A7" s="13" t="inlineStr">
        <is>
          <t>ev_pokeball_total</t>
        </is>
      </c>
      <c r="B7" s="14" t="n">
        <v>0</v>
      </c>
    </row>
    <row r="8">
      <c r="A8" s="13" t="inlineStr">
        <is>
          <t>ev_master_ball_total</t>
        </is>
      </c>
      <c r="B8" s="14" t="n">
        <v>0</v>
      </c>
    </row>
    <row r="9">
      <c r="A9" s="13" t="inlineStr">
        <is>
          <t>ev_IR_total</t>
        </is>
      </c>
      <c r="B9" s="14" t="n">
        <v>0.1311904761904762</v>
      </c>
    </row>
    <row r="10">
      <c r="A10" s="13" t="inlineStr">
        <is>
          <t>ev_SIR_total</t>
        </is>
      </c>
      <c r="B10" s="14" t="n">
        <v>2.502215053763441</v>
      </c>
    </row>
    <row r="11">
      <c r="A11" s="13" t="inlineStr">
        <is>
          <t>ev_double_rare_total</t>
        </is>
      </c>
      <c r="B11" s="14" t="n">
        <v>0.1368253968253968</v>
      </c>
    </row>
    <row r="12">
      <c r="A12" s="13" t="inlineStr">
        <is>
          <t>ev_hyper_rare_total</t>
        </is>
      </c>
      <c r="B12" s="14" t="n">
        <v>0.1220698924731183</v>
      </c>
    </row>
    <row r="13">
      <c r="A13" s="13" t="inlineStr">
        <is>
          <t>ev_ultra_rare_total</t>
        </is>
      </c>
      <c r="B13" s="14" t="n">
        <v>0.04618421052631579</v>
      </c>
    </row>
    <row r="14">
      <c r="A14" s="13" t="inlineStr">
        <is>
          <t>reverse_multiplier</t>
        </is>
      </c>
      <c r="B14" s="13" t="n">
        <v>1.568277940079942</v>
      </c>
    </row>
    <row r="15">
      <c r="A15" s="13" t="inlineStr">
        <is>
          <t>rare_multiplier</t>
        </is>
      </c>
      <c r="B15" s="13" t="n">
        <v>0.7666666666666667</v>
      </c>
    </row>
    <row r="16">
      <c r="A16" s="13" t="inlineStr">
        <is>
          <t>total_manual_ev</t>
        </is>
      </c>
      <c r="B16" s="13" t="n">
        <v>3.870717163936012</v>
      </c>
    </row>
    <row r="17">
      <c r="A17" s="13" t="inlineStr">
        <is>
          <t>regular_pack_ev_contribution</t>
        </is>
      </c>
      <c r="B17" s="13" t="n">
        <v>3.870717163936012</v>
      </c>
    </row>
    <row r="18">
      <c r="A18" s="13" t="inlineStr">
        <is>
          <t>god_pack_ev_contribution</t>
        </is>
      </c>
      <c r="B18" s="13" t="n">
        <v>0</v>
      </c>
    </row>
    <row r="19">
      <c r="A19" s="13" t="inlineStr">
        <is>
          <t>demi_god_pack_ev_contribution</t>
        </is>
      </c>
      <c r="B19" s="13" t="n">
        <v>0</v>
      </c>
    </row>
    <row r="20">
      <c r="A20" s="13" t="inlineStr">
        <is>
          <t>net_value</t>
        </is>
      </c>
      <c r="B20" s="14" t="n">
        <v>-10.3540235</v>
      </c>
    </row>
    <row r="21">
      <c r="A21" s="13" t="inlineStr">
        <is>
          <t>opening_pack_roi</t>
        </is>
      </c>
      <c r="B21" s="13" t="n">
        <v>0.3392454690491384</v>
      </c>
    </row>
    <row r="22">
      <c r="A22" s="13" t="inlineStr">
        <is>
          <t>opening_pack_roi_percent</t>
        </is>
      </c>
      <c r="B22" s="13" t="n">
        <v>-66.07545309508616</v>
      </c>
    </row>
    <row r="23">
      <c r="A23" s="13" t="inlineStr">
        <is>
          <t>no_hit_probability_percentage</t>
        </is>
      </c>
      <c r="B23" s="15" t="n">
        <v>0.5147505105681869</v>
      </c>
    </row>
    <row r="24">
      <c r="A24" s="13" t="inlineStr">
        <is>
          <t>hit_probability_percentage</t>
        </is>
      </c>
      <c r="B24" s="15" t="n">
        <v>0.4852494894318131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2025-11-22T21:10:29Z</dcterms:modified>
  <cp:lastModifiedBy>Donald Stivison</cp:lastModifiedBy>
</cp:coreProperties>
</file>