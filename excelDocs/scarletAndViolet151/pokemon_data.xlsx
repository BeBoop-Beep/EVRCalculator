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90" yWindow="160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3" fillId="2" borderId="3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2" fillId="0" borderId="4" applyAlignment="1" pivotButton="0" quotePrefix="0" xfId="0">
      <alignment horizontal="center" vertical="top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  <xf numFmtId="164" fontId="0" fillId="0" borderId="5" applyAlignment="1" pivotButton="0" quotePrefix="0" xfId="0">
      <alignment horizontal="left"/>
    </xf>
    <xf numFmtId="1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zoomScale="85" zoomScaleNormal="85" workbookViewId="0">
      <selection activeCell="H4" sqref="H4"/>
    </sheetView>
  </sheetViews>
  <sheetFormatPr baseColWidth="8" defaultRowHeight="15"/>
  <cols>
    <col width="39.6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11" t="inlineStr">
        <is>
          <t>Probability</t>
        </is>
      </c>
      <c r="P1" s="11" t="inlineStr">
        <is>
          <t>Expected Value Contribution per Card</t>
        </is>
      </c>
      <c r="Q1" s="11" t="inlineStr">
        <is>
          <t>Variance Contribution per card</t>
        </is>
      </c>
      <c r="R1" s="11" t="inlineStr">
        <is>
          <t xml:space="preserve">Total Variance </t>
        </is>
      </c>
      <c r="S1" s="11" t="inlineStr">
        <is>
          <t>Standard Deviation</t>
        </is>
      </c>
      <c r="AA1" s="11" t="inlineStr">
        <is>
          <t>Expected Value Contribution per reverse Card</t>
        </is>
      </c>
      <c r="AB1" s="11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Abra</t>
        </is>
      </c>
      <c r="B2" s="3" t="inlineStr">
        <is>
          <t>common</t>
        </is>
      </c>
      <c r="C2" s="3" t="n">
        <v>46</v>
      </c>
      <c r="D2" s="3" t="n">
        <v>0.06</v>
      </c>
      <c r="E2" s="3" t="n">
        <v>0.17</v>
      </c>
      <c r="F2" s="3">
        <f>IF(B2:B210="common", 4, IF(B2:B210="uncommon", 3, IF(B2:B210="rare", 0.792892156862745, 1)))</f>
        <v/>
      </c>
      <c r="G2" s="3">
        <f>SUM(H2:H10)</f>
        <v/>
      </c>
      <c r="H2" s="3">
        <f>SUMPRODUCT((B2:B210="Common") *D2:D210 * F2:F210 / C2:C210)</f>
        <v/>
      </c>
      <c r="I2" s="3" t="n">
        <v>11.38</v>
      </c>
      <c r="J2" s="3" t="n">
        <v>73.56</v>
      </c>
      <c r="K2" s="3" t="n">
        <v>279.1</v>
      </c>
      <c r="L2" s="3" t="n">
        <v>8.9</v>
      </c>
      <c r="M2" s="3" t="n"/>
      <c r="N2" s="3" t="n">
        <v>399.32</v>
      </c>
      <c r="O2">
        <f>IF(C2="", 0, 1 / C2)</f>
        <v/>
      </c>
      <c r="P2">
        <f>F2 *O2</f>
        <v/>
      </c>
      <c r="Q2">
        <f> O2 *(D2 - P2)^2</f>
        <v/>
      </c>
      <c r="R2" s="3">
        <f>SUM(Q2:Q210)+SUM(AB2:AB210)</f>
        <v/>
      </c>
      <c r="S2" s="3">
        <f>SQRT(R2)</f>
        <v/>
      </c>
      <c r="T2" s="3" t="n"/>
      <c r="U2" s="3" t="n"/>
      <c r="AA2">
        <f>E2 *1.88541666666666</f>
        <v/>
      </c>
      <c r="AB2" s="3">
        <f> 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/>
    </row>
    <row r="3">
      <c r="A3" s="3" t="inlineStr">
        <is>
          <t>Aerodactyl</t>
        </is>
      </c>
      <c r="B3" s="3" t="inlineStr">
        <is>
          <t>rare</t>
        </is>
      </c>
      <c r="C3" s="3" t="n">
        <v>21</v>
      </c>
      <c r="D3" s="3" t="n">
        <v>0.17</v>
      </c>
      <c r="E3" s="3" t="n">
        <v>0.6</v>
      </c>
      <c r="F3" s="3">
        <f>IF(B3:B211="common", 4, IF(B3:B211="uncommon", 3, IF(B3:B211="rare", 0.792892156862745, 1)))</f>
        <v/>
      </c>
      <c r="G3" s="3" t="n"/>
      <c r="H3" s="3">
        <f>SUMPRODUCT((B2:B210="Uncommon") *D2:D210 * F2:F210 / C2:C210)</f>
        <v/>
      </c>
      <c r="I3" s="3" t="n"/>
      <c r="J3" s="3" t="n"/>
      <c r="K3" s="3" t="n"/>
      <c r="L3" s="3" t="n"/>
      <c r="M3" s="3" t="n"/>
      <c r="N3" s="3" t="n"/>
      <c r="O3">
        <f>IF(C3="", 0, 1 / C3)</f>
        <v/>
      </c>
      <c r="P3">
        <f>F3 *O3</f>
        <v/>
      </c>
      <c r="Q3">
        <f> O3 *(D3 - P3)^2</f>
        <v/>
      </c>
      <c r="R3" s="3" t="n"/>
      <c r="S3" s="3" t="n"/>
      <c r="T3" s="3" t="n"/>
      <c r="U3" s="3" t="n"/>
      <c r="AA3">
        <f>E3 *1.88541666666666</f>
        <v/>
      </c>
      <c r="AB3" s="3">
        <f> 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Alakazam ex - 065/165</t>
        </is>
      </c>
      <c r="B4" s="3" t="inlineStr">
        <is>
          <t>double rare</t>
        </is>
      </c>
      <c r="C4" s="3" t="n">
        <v>90</v>
      </c>
      <c r="D4" s="3" t="n">
        <v>1.01</v>
      </c>
      <c r="E4" s="3" t="inlineStr"/>
      <c r="F4" s="3">
        <f>IF(B4:B212="common", 4, IF(B4:B212="uncommon", 3, IF(B4:B212="rare", 0.792892156862745, 1)))</f>
        <v/>
      </c>
      <c r="G4" s="3" t="n"/>
      <c r="H4" s="3">
        <f>SUMPRODUCT((B2:B210="Rare") *D2:D210 * F2:F210 / C2:C210)</f>
        <v/>
      </c>
      <c r="I4" s="3" t="n"/>
      <c r="J4" s="3" t="n"/>
      <c r="K4" s="3" t="n"/>
      <c r="L4" s="3" t="n"/>
      <c r="M4" s="3" t="n"/>
      <c r="N4" s="3" t="n"/>
      <c r="O4">
        <f>IF(C4="", 0, 1 / C4)</f>
        <v/>
      </c>
      <c r="P4">
        <f>F4 *O4</f>
        <v/>
      </c>
      <c r="Q4">
        <f> O4 *(D4 - P4)^2</f>
        <v/>
      </c>
      <c r="R4" s="3" t="n"/>
      <c r="S4" s="3" t="n"/>
      <c r="T4" s="3" t="n"/>
      <c r="U4" s="3" t="n"/>
      <c r="AA4">
        <f>E4 *1.88541666666666</f>
        <v/>
      </c>
      <c r="AB4" s="3">
        <f> 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Alakazam ex - 188/165</t>
        </is>
      </c>
      <c r="B5" s="3" t="inlineStr">
        <is>
          <t>ultra rare</t>
        </is>
      </c>
      <c r="C5" s="3" t="n">
        <v>248</v>
      </c>
      <c r="D5" s="3" t="n">
        <v>7.17</v>
      </c>
      <c r="E5" s="3" t="inlineStr"/>
      <c r="F5" s="3">
        <f>IF(B5:B213="common", 4, IF(B5:B213="uncommon", 3, IF(B5:B213="rare", 0.792892156862745, 1)))</f>
        <v/>
      </c>
      <c r="G5" s="3" t="n"/>
      <c r="H5" s="3">
        <f>SUM(E2:E210) * (1.88541666666666 / COUNTA(E2:E210))</f>
        <v/>
      </c>
      <c r="I5" s="3" t="n"/>
      <c r="J5" s="3" t="n"/>
      <c r="K5" s="3" t="n"/>
      <c r="L5" s="3" t="n"/>
      <c r="M5" s="3" t="n"/>
      <c r="N5" s="3" t="n"/>
      <c r="O5">
        <f>IF(C5="", 0, 1 / C5)</f>
        <v/>
      </c>
      <c r="P5">
        <f>F5 *O5</f>
        <v/>
      </c>
      <c r="Q5">
        <f> O5 *(D5 - P5)^2</f>
        <v/>
      </c>
      <c r="R5" s="3" t="n"/>
      <c r="S5" s="3" t="n"/>
      <c r="T5" s="3" t="n"/>
      <c r="U5" s="3" t="n"/>
      <c r="AA5">
        <f>E5 *1.88541666666666</f>
        <v/>
      </c>
      <c r="AB5" s="3">
        <f> 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Alakazam ex - 201/165</t>
        </is>
      </c>
      <c r="B6" s="3" t="inlineStr">
        <is>
          <t>special illustration rare</t>
        </is>
      </c>
      <c r="C6" s="3" t="n">
        <v>225</v>
      </c>
      <c r="D6" s="3" t="n">
        <v>40.14</v>
      </c>
      <c r="E6" s="3" t="inlineStr"/>
      <c r="F6" s="3">
        <f>IF(B6:B214="common", 4, IF(B6:B214="uncommon", 3, IF(B6:B214="rare", 0.792892156862745, 1)))</f>
        <v/>
      </c>
      <c r="G6" s="3" t="n"/>
      <c r="H6" s="3">
        <f>SUMPRODUCT((B2:B210="Illustration Rare") *D2:D210 * F2:F210 / C2:C210)</f>
        <v/>
      </c>
      <c r="I6" s="3" t="n"/>
      <c r="J6" s="3" t="n"/>
      <c r="K6" s="3" t="n"/>
      <c r="L6" s="3" t="n"/>
      <c r="M6" s="3" t="n"/>
      <c r="N6" s="3" t="n"/>
      <c r="O6">
        <f>IF(C6="", 0, 1 / C6)</f>
        <v/>
      </c>
      <c r="P6">
        <f>F6 *O6</f>
        <v/>
      </c>
      <c r="Q6">
        <f> O6 *(D6 - P6)^2</f>
        <v/>
      </c>
      <c r="R6" s="3" t="n"/>
      <c r="S6" s="3" t="n"/>
      <c r="T6" s="3" t="n"/>
      <c r="U6" s="3" t="n"/>
      <c r="AA6">
        <f>E6 *1.88541666666666</f>
        <v/>
      </c>
      <c r="AB6" s="3">
        <f> 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Antique Dome Fossil</t>
        </is>
      </c>
      <c r="B7" s="3" t="inlineStr">
        <is>
          <t>common</t>
        </is>
      </c>
      <c r="C7" s="3" t="n">
        <v>46</v>
      </c>
      <c r="D7" s="3" t="n">
        <v>0.12</v>
      </c>
      <c r="E7" s="3" t="n">
        <v>0.58</v>
      </c>
      <c r="F7" s="3">
        <f>IF(B7:B215="common", 4, IF(B7:B215="uncommon", 3, IF(B7:B215="rare", 0.792892156862745, 1)))</f>
        <v/>
      </c>
      <c r="G7" s="3" t="n"/>
      <c r="H7" s="3">
        <f>SUMPRODUCT((B2:B210="Special Illustration Rare") *D2:D210 * F2:F210 / C2:C210)</f>
        <v/>
      </c>
      <c r="I7" s="3" t="n"/>
      <c r="J7" s="3" t="n"/>
      <c r="K7" s="3" t="n"/>
      <c r="L7" s="3" t="n"/>
      <c r="M7" s="3" t="n"/>
      <c r="N7" s="3" t="n"/>
      <c r="O7">
        <f>IF(C7="", 0, 1 / C7)</f>
        <v/>
      </c>
      <c r="P7">
        <f>F7 *O7</f>
        <v/>
      </c>
      <c r="Q7">
        <f> O7 *(D7 - P7)^2</f>
        <v/>
      </c>
      <c r="R7" s="3" t="n"/>
      <c r="S7" s="3" t="n"/>
      <c r="T7" s="3" t="n"/>
      <c r="U7" s="3" t="n"/>
      <c r="AA7">
        <f>E7 *1.88541666666666</f>
        <v/>
      </c>
      <c r="AB7" s="3">
        <f> 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Antique Helix Fossil</t>
        </is>
      </c>
      <c r="B8" s="3" t="inlineStr">
        <is>
          <t>common</t>
        </is>
      </c>
      <c r="C8" s="3" t="n">
        <v>46</v>
      </c>
      <c r="D8" s="3" t="n">
        <v>0.09</v>
      </c>
      <c r="E8" s="3" t="n">
        <v>0.67</v>
      </c>
      <c r="F8" s="3">
        <f>IF(B8:B216="common", 4, IF(B8:B216="uncommon", 3, IF(B8:B216="rare", 0.792892156862745, 1)))</f>
        <v/>
      </c>
      <c r="G8" s="3" t="n"/>
      <c r="H8" s="3">
        <f>SUMPRODUCT((B2:B210="Double Rare") *D2:D210 * F2:F210 / C2:C210)</f>
        <v/>
      </c>
      <c r="I8" s="3" t="n"/>
      <c r="J8" s="3" t="n"/>
      <c r="K8" s="3" t="n"/>
      <c r="L8" s="3" t="n"/>
      <c r="M8" s="3" t="n"/>
      <c r="N8" s="3" t="n"/>
      <c r="O8">
        <f>IF(C8="", 0, 1 / C8)</f>
        <v/>
      </c>
      <c r="P8">
        <f>F8 *O8</f>
        <v/>
      </c>
      <c r="Q8">
        <f> O8 *(D8 - P8)^2</f>
        <v/>
      </c>
      <c r="R8" s="3" t="n"/>
      <c r="S8" s="3" t="n"/>
      <c r="T8" s="3" t="n"/>
      <c r="U8" s="3" t="n"/>
      <c r="AA8">
        <f>E8 *1.88541666666666</f>
        <v/>
      </c>
      <c r="AB8" s="3">
        <f> 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Antique Old Amber</t>
        </is>
      </c>
      <c r="B9" s="3" t="inlineStr">
        <is>
          <t>common</t>
        </is>
      </c>
      <c r="C9" s="3" t="n">
        <v>46</v>
      </c>
      <c r="D9" s="3" t="n">
        <v>0.1</v>
      </c>
      <c r="E9" s="3" t="n">
        <v>0.62</v>
      </c>
      <c r="F9" s="3">
        <f>IF(B9:B217="common", 4, IF(B9:B217="uncommon", 3, IF(B9:B217="rare", 0.792892156862745, 1)))</f>
        <v/>
      </c>
      <c r="G9" s="3" t="n"/>
      <c r="H9" s="3">
        <f>SUMPRODUCT((B2:B210="Hyper Rare") *D2:D210 * F2:F210 / C2:C210)</f>
        <v/>
      </c>
      <c r="I9" s="3" t="n"/>
      <c r="J9" s="3" t="n"/>
      <c r="K9" s="3" t="n"/>
      <c r="L9" s="3" t="n"/>
      <c r="M9" s="3" t="n"/>
      <c r="N9" s="3" t="n"/>
      <c r="O9">
        <f>IF(C9="", 0, 1 / C9)</f>
        <v/>
      </c>
      <c r="P9">
        <f>F9 *O9</f>
        <v/>
      </c>
      <c r="Q9">
        <f> O9 *(D9 - P9)^2</f>
        <v/>
      </c>
      <c r="R9" s="3" t="n"/>
      <c r="S9" s="3" t="n"/>
      <c r="T9" s="3" t="n"/>
      <c r="U9" s="3" t="n"/>
      <c r="AA9">
        <f>E9 *1.88541666666666</f>
        <v/>
      </c>
      <c r="AB9" s="3">
        <f> 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Arbok ex - 024/165</t>
        </is>
      </c>
      <c r="B10" s="3" t="inlineStr">
        <is>
          <t>double rare</t>
        </is>
      </c>
      <c r="C10" s="3" t="n">
        <v>90</v>
      </c>
      <c r="D10" s="3" t="n">
        <v>0.98</v>
      </c>
      <c r="E10" s="3" t="inlineStr"/>
      <c r="F10" s="3">
        <f>IF(B10:B218="common", 4, IF(B10:B218="uncommon", 3, IF(B10:B218="rare", 0.792892156862745, 1)))</f>
        <v/>
      </c>
      <c r="G10" s="3" t="n"/>
      <c r="H10" s="3">
        <f>SUMPRODUCT((B2:B210="Ultra Rare") *D2:D210 * F2:F210 / C2:C210)</f>
        <v/>
      </c>
      <c r="I10" s="3" t="n"/>
      <c r="J10" s="3" t="n"/>
      <c r="K10" s="3" t="n"/>
      <c r="L10" s="3" t="n"/>
      <c r="M10" s="3" t="n"/>
      <c r="N10" s="3" t="n"/>
      <c r="O10">
        <f>IF(C10="", 0, 1 / C10)</f>
        <v/>
      </c>
      <c r="P10">
        <f>F10 *O10</f>
        <v/>
      </c>
      <c r="Q10">
        <f> O10 *(D10 - P10)^2</f>
        <v/>
      </c>
      <c r="R10" s="3" t="n"/>
      <c r="S10" s="3" t="n"/>
      <c r="T10" s="3" t="n"/>
      <c r="U10" s="3" t="n"/>
      <c r="AA10">
        <f>E10 *1.88541666666666</f>
        <v/>
      </c>
      <c r="AB10" s="3">
        <f> 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Arbok ex - 185/165</t>
        </is>
      </c>
      <c r="B11" s="3" t="inlineStr">
        <is>
          <t>ultra rare</t>
        </is>
      </c>
      <c r="C11" s="3" t="n">
        <v>248</v>
      </c>
      <c r="D11" s="3" t="n">
        <v>5.07</v>
      </c>
      <c r="E11" s="3" t="inlineStr"/>
      <c r="F11" s="3">
        <f>IF(B11:B219="common", 4, IF(B11:B219="uncommon", 3, IF(B11:B219="rare", 0.792892156862745, 1)))</f>
        <v/>
      </c>
      <c r="G11" s="3" t="n"/>
      <c r="H11" s="3" t="n"/>
      <c r="I11" s="3" t="n"/>
      <c r="J11" s="3" t="n"/>
      <c r="K11" s="3" t="n"/>
      <c r="L11" s="3" t="n"/>
      <c r="M11" s="3" t="n"/>
      <c r="N11" s="3" t="n"/>
      <c r="O11">
        <f>IF(C11="", 0, 1 / C11)</f>
        <v/>
      </c>
      <c r="P11">
        <f>F11 *O11</f>
        <v/>
      </c>
      <c r="Q11">
        <f> O11 *(D11 - P11)^2</f>
        <v/>
      </c>
      <c r="R11" s="3" t="n"/>
      <c r="S11" s="3" t="n"/>
      <c r="T11" s="3" t="n"/>
      <c r="U11" s="3" t="n"/>
      <c r="AA11">
        <f>E11 *1.88541666666666</f>
        <v/>
      </c>
      <c r="AB11" s="3">
        <f> 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Arcanine</t>
        </is>
      </c>
      <c r="B12" s="3" t="inlineStr">
        <is>
          <t>uncommon</t>
        </is>
      </c>
      <c r="C12" s="3" t="n">
        <v>33</v>
      </c>
      <c r="D12" s="3" t="n">
        <v>0.1</v>
      </c>
      <c r="E12" s="3" t="n">
        <v>0.23</v>
      </c>
      <c r="F12" s="3">
        <f>IF(B12:B220="common", 4, IF(B12:B220="uncommon", 3, IF(B12:B220="rare", 0.792892156862745, 1)))</f>
        <v/>
      </c>
      <c r="G12" s="3" t="n"/>
      <c r="H12" s="3" t="n"/>
      <c r="I12" s="3" t="n"/>
      <c r="J12" s="3" t="n"/>
      <c r="K12" s="3" t="n"/>
      <c r="L12" s="3" t="n"/>
      <c r="M12" s="3" t="n"/>
      <c r="N12" s="3" t="n"/>
      <c r="O12">
        <f>IF(C12="", 0, 1 / C12)</f>
        <v/>
      </c>
      <c r="P12">
        <f>F12 *O12</f>
        <v/>
      </c>
      <c r="Q12">
        <f> O12 *(D12 - P12)^2</f>
        <v/>
      </c>
      <c r="R12" s="3" t="n"/>
      <c r="S12" s="3" t="n"/>
      <c r="T12" s="3" t="n"/>
      <c r="U12" s="3" t="n"/>
      <c r="AA12">
        <f>E12 *1.88541666666666</f>
        <v/>
      </c>
      <c r="AB12" s="3">
        <f> 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Articuno</t>
        </is>
      </c>
      <c r="B13" s="3" t="inlineStr">
        <is>
          <t>rare</t>
        </is>
      </c>
      <c r="C13" s="3" t="n">
        <v>21</v>
      </c>
      <c r="D13" s="3" t="n">
        <v>0.17</v>
      </c>
      <c r="E13" s="3" t="n">
        <v>0.6899999999999999</v>
      </c>
      <c r="F13" s="3">
        <f>IF(B13:B221="common", 4, IF(B13:B221="uncommon", 3, IF(B13:B221="rare", 0.792892156862745, 1)))</f>
        <v/>
      </c>
      <c r="G13" s="3" t="n"/>
      <c r="H13" s="3" t="n"/>
      <c r="I13" s="3" t="n"/>
      <c r="J13" s="3" t="n"/>
      <c r="K13" s="3" t="n"/>
      <c r="L13" s="3" t="n"/>
      <c r="M13" s="3" t="n"/>
      <c r="N13" s="3" t="n"/>
      <c r="O13">
        <f>IF(C13="", 0, 1 / C13)</f>
        <v/>
      </c>
      <c r="P13">
        <f>F13 *O13</f>
        <v/>
      </c>
      <c r="Q13">
        <f> O13 *(D13 - P13)^2</f>
        <v/>
      </c>
      <c r="R13" s="3" t="n"/>
      <c r="S13" s="3" t="n"/>
      <c r="T13" s="3" t="n"/>
      <c r="U13" s="3" t="n"/>
      <c r="AA13">
        <f>E13 *1.88541666666666</f>
        <v/>
      </c>
      <c r="AB13" s="3">
        <f> 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Basic Psychic Energy - 207/165</t>
        </is>
      </c>
      <c r="B14" s="3" t="inlineStr">
        <is>
          <t>hyper rare</t>
        </is>
      </c>
      <c r="C14" s="3" t="n">
        <v>154</v>
      </c>
      <c r="D14" s="3" t="n">
        <v>4.38</v>
      </c>
      <c r="E14" s="3" t="inlineStr"/>
      <c r="F14" s="3">
        <f>IF(B14:B222="common", 4, IF(B14:B222="uncommon", 3, IF(B14:B222="rare", 0.792892156862745,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>
        <f>IF(C14="", 0, 1 / C14)</f>
        <v/>
      </c>
      <c r="P14">
        <f>F14 *O14</f>
        <v/>
      </c>
      <c r="Q14">
        <f> O14 *(D14 - P14)^2</f>
        <v/>
      </c>
      <c r="R14" s="3" t="n"/>
      <c r="S14" s="3" t="n"/>
      <c r="T14" s="3" t="n"/>
      <c r="U14" s="3" t="n"/>
      <c r="AA14">
        <f>E14 *1.88541666666666</f>
        <v/>
      </c>
      <c r="AB14" s="3">
        <f> 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Beedrill</t>
        </is>
      </c>
      <c r="B15" s="3" t="inlineStr">
        <is>
          <t>rare</t>
        </is>
      </c>
      <c r="C15" s="3" t="n">
        <v>21</v>
      </c>
      <c r="D15" s="3" t="n">
        <v>0.14</v>
      </c>
      <c r="E15" s="3" t="n">
        <v>0.8100000000000001</v>
      </c>
      <c r="F15" s="3">
        <f>IF(B15:B223="common", 4, IF(B15:B223="uncommon", 3, IF(B15:B223="rare", 0.792892156862745,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>
        <f>IF(C15="", 0, 1 / C15)</f>
        <v/>
      </c>
      <c r="P15">
        <f>F15 *O15</f>
        <v/>
      </c>
      <c r="Q15">
        <f> O15 *(D15 - P15)^2</f>
        <v/>
      </c>
      <c r="R15" s="3" t="n"/>
      <c r="S15" s="3" t="n"/>
      <c r="T15" s="3" t="n"/>
      <c r="U15" s="3" t="n"/>
      <c r="AA15">
        <f>E15 *1.88541666666666</f>
        <v/>
      </c>
      <c r="AB15" s="3">
        <f> 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Bellsprout</t>
        </is>
      </c>
      <c r="B16" s="3" t="inlineStr">
        <is>
          <t>common</t>
        </is>
      </c>
      <c r="C16" s="3" t="n">
        <v>46</v>
      </c>
      <c r="D16" s="3" t="n">
        <v>0.05</v>
      </c>
      <c r="E16" s="3" t="n">
        <v>0.14</v>
      </c>
      <c r="F16" s="3">
        <f>IF(B16:B224="common", 4, IF(B16:B224="uncommon", 3, IF(B16:B224="rare", 0.792892156862745,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>
        <f>IF(C16="", 0, 1 / C16)</f>
        <v/>
      </c>
      <c r="P16">
        <f>F16 *O16</f>
        <v/>
      </c>
      <c r="Q16">
        <f> O16 *(D16 - P16)^2</f>
        <v/>
      </c>
      <c r="R16" s="3" t="n"/>
      <c r="S16" s="3" t="n"/>
      <c r="T16" s="3" t="n"/>
      <c r="U16" s="3" t="n"/>
      <c r="AA16">
        <f>E16 *1.88541666666666</f>
        <v/>
      </c>
      <c r="AB16" s="3">
        <f> 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Big Air Balloon</t>
        </is>
      </c>
      <c r="B17" s="3" t="inlineStr">
        <is>
          <t>uncommon</t>
        </is>
      </c>
      <c r="C17" s="3" t="n">
        <v>33</v>
      </c>
      <c r="D17" s="3" t="n">
        <v>0.09</v>
      </c>
      <c r="E17" s="3" t="n">
        <v>0.68</v>
      </c>
      <c r="F17" s="3">
        <f>IF(B17:B225="common", 4, IF(B17:B225="uncommon", 3, IF(B17:B225="rare", 0.792892156862745, 1)))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>
        <f>IF(C17="", 0, 1 / C17)</f>
        <v/>
      </c>
      <c r="P17">
        <f>F17 *O17</f>
        <v/>
      </c>
      <c r="Q17">
        <f> O17 *(D17 - P17)^2</f>
        <v/>
      </c>
      <c r="R17" s="3" t="n"/>
      <c r="S17" s="3" t="n"/>
      <c r="T17" s="3" t="n"/>
      <c r="U17" s="3" t="n"/>
      <c r="AA17">
        <f>E17 *1.88541666666666</f>
        <v/>
      </c>
      <c r="AB17" s="3">
        <f> 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Bill's Transfer - 156/165</t>
        </is>
      </c>
      <c r="B18" s="3" t="inlineStr">
        <is>
          <t>uncommon</t>
        </is>
      </c>
      <c r="C18" s="3" t="n">
        <v>33</v>
      </c>
      <c r="D18" s="3" t="n">
        <v>0.1</v>
      </c>
      <c r="E18" s="3" t="n">
        <v>0.43</v>
      </c>
      <c r="F18" s="3">
        <f>IF(B18:B226="common", 4, IF(B18:B226="uncommon", 3, IF(B18:B226="rare", 0.792892156862745,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>
        <f>IF(C18="", 0, 1 / C18)</f>
        <v/>
      </c>
      <c r="P18">
        <f>F18 *O18</f>
        <v/>
      </c>
      <c r="Q18">
        <f> O18 *(D18 - P18)^2</f>
        <v/>
      </c>
      <c r="R18" s="3" t="n"/>
      <c r="S18" s="3" t="n"/>
      <c r="T18" s="3" t="n"/>
      <c r="U18" s="3" t="n"/>
      <c r="AA18">
        <f>E18 *1.88541666666666</f>
        <v/>
      </c>
      <c r="AB18" s="3">
        <f> 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Bill's Transfer - 194/165</t>
        </is>
      </c>
      <c r="B19" s="3" t="inlineStr">
        <is>
          <t>ultra rare</t>
        </is>
      </c>
      <c r="C19" s="3" t="n">
        <v>248</v>
      </c>
      <c r="D19" s="3" t="n">
        <v>3.03</v>
      </c>
      <c r="E19" s="3" t="inlineStr"/>
      <c r="F19" s="3">
        <f>IF(B19:B227="common", 4, IF(B19:B227="uncommon", 3, IF(B19:B227="rare", 0.792892156862745,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>
        <f>IF(C19="", 0, 1 / C19)</f>
        <v/>
      </c>
      <c r="P19">
        <f>F19 *O19</f>
        <v/>
      </c>
      <c r="Q19">
        <f> O19 *(D19 - P19)^2</f>
        <v/>
      </c>
      <c r="R19" s="3" t="n"/>
      <c r="S19" s="3" t="n"/>
      <c r="T19" s="3" t="n"/>
      <c r="U19" s="3" t="n"/>
      <c r="AA19">
        <f>E19 *1.88541666666666</f>
        <v/>
      </c>
      <c r="AB19" s="3">
        <f> 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Blastoise ex - 009/165</t>
        </is>
      </c>
      <c r="B20" s="3" t="inlineStr">
        <is>
          <t>double rare</t>
        </is>
      </c>
      <c r="C20" s="3" t="n">
        <v>90</v>
      </c>
      <c r="D20" s="3" t="n">
        <v>0.89</v>
      </c>
      <c r="E20" s="3" t="inlineStr"/>
      <c r="F20" s="3">
        <f>IF(B20:B228="common", 4, IF(B20:B228="uncommon", 3, IF(B20:B228="rare", 0.792892156862745,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>
        <f>IF(C20="", 0, 1 / C20)</f>
        <v/>
      </c>
      <c r="P20">
        <f>F20 *O20</f>
        <v/>
      </c>
      <c r="Q20">
        <f> O20 *(D20 - P20)^2</f>
        <v/>
      </c>
      <c r="R20" s="3" t="n"/>
      <c r="S20" s="3" t="n"/>
      <c r="T20" s="3" t="n"/>
      <c r="U20" s="3" t="n"/>
      <c r="AA20">
        <f>E20 *1.88541666666666</f>
        <v/>
      </c>
      <c r="AB20" s="3">
        <f> 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Blastoise ex - 184/165</t>
        </is>
      </c>
      <c r="B21" s="3" t="inlineStr">
        <is>
          <t>ultra rare</t>
        </is>
      </c>
      <c r="C21" s="3" t="n">
        <v>248</v>
      </c>
      <c r="D21" s="3" t="n">
        <v>13.81</v>
      </c>
      <c r="E21" s="3" t="inlineStr"/>
      <c r="F21" s="3">
        <f>IF(B21:B229="common", 4, IF(B21:B229="uncommon", 3, IF(B21:B229="rare", 0.792892156862745, 1)))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>
        <f>IF(C21="", 0, 1 / C21)</f>
        <v/>
      </c>
      <c r="P21">
        <f>F21 *O21</f>
        <v/>
      </c>
      <c r="Q21">
        <f> O21 *(D21 - P21)^2</f>
        <v/>
      </c>
      <c r="R21" s="3" t="n"/>
      <c r="S21" s="3" t="n"/>
      <c r="T21" s="3" t="n"/>
      <c r="U21" s="3" t="n"/>
      <c r="AA21">
        <f>E21 *1.88541666666666</f>
        <v/>
      </c>
      <c r="AB21" s="3">
        <f> 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Blastoise ex - 200/165</t>
        </is>
      </c>
      <c r="B22" s="3" t="inlineStr">
        <is>
          <t>special illustration rare</t>
        </is>
      </c>
      <c r="C22" s="3" t="n">
        <v>225</v>
      </c>
      <c r="D22" s="3" t="n">
        <v>70.66</v>
      </c>
      <c r="E22" s="3" t="inlineStr"/>
      <c r="F22" s="3">
        <f>IF(B22:B230="common", 4, IF(B22:B230="uncommon", 3, IF(B22:B230="rare", 0.792892156862745, 1)))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>
        <f>IF(C22="", 0, 1 / C22)</f>
        <v/>
      </c>
      <c r="P22">
        <f>F22 *O22</f>
        <v/>
      </c>
      <c r="Q22">
        <f> O22 *(D22 - P22)^2</f>
        <v/>
      </c>
      <c r="R22" s="3" t="n"/>
      <c r="S22" s="3" t="n"/>
      <c r="T22" s="3" t="n"/>
      <c r="U22" s="3" t="n"/>
      <c r="AA22">
        <f>E22 *1.88541666666666</f>
        <v/>
      </c>
      <c r="AB22" s="3">
        <f> 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Bulbasaur - 001/165</t>
        </is>
      </c>
      <c r="B23" s="3" t="inlineStr">
        <is>
          <t>common</t>
        </is>
      </c>
      <c r="C23" s="3" t="n">
        <v>46</v>
      </c>
      <c r="D23" s="3" t="n">
        <v>0.13</v>
      </c>
      <c r="E23" s="3" t="n">
        <v>0.2</v>
      </c>
      <c r="F23" s="3">
        <f>IF(B23:B231="common", 4, IF(B23:B231="uncommon", 3, IF(B23:B231="rare", 0.792892156862745, 1)))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>
        <f>IF(C23="", 0, 1 / C23)</f>
        <v/>
      </c>
      <c r="P23">
        <f>F23 *O23</f>
        <v/>
      </c>
      <c r="Q23">
        <f> O23 *(D23 - P23)^2</f>
        <v/>
      </c>
      <c r="R23" s="3" t="n"/>
      <c r="S23" s="3" t="n"/>
      <c r="T23" s="3" t="n"/>
      <c r="U23" s="3" t="n"/>
      <c r="AA23">
        <f>E23 *1.88541666666666</f>
        <v/>
      </c>
      <c r="AB23" s="3">
        <f> 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Bulbasaur - 166/165</t>
        </is>
      </c>
      <c r="B24" s="3" t="inlineStr">
        <is>
          <t>illustration rare</t>
        </is>
      </c>
      <c r="C24" s="3" t="n">
        <v>188</v>
      </c>
      <c r="D24" s="3" t="n">
        <v>32.4</v>
      </c>
      <c r="E24" s="3" t="inlineStr"/>
      <c r="F24" s="3">
        <f>IF(B24:B232="common", 4, IF(B24:B232="uncommon", 3, IF(B24:B232="rare", 0.792892156862745,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>
        <f>IF(C24="", 0, 1 / C24)</f>
        <v/>
      </c>
      <c r="P24">
        <f>F24 *O24</f>
        <v/>
      </c>
      <c r="Q24">
        <f> O24 *(D24 - P24)^2</f>
        <v/>
      </c>
      <c r="R24" s="3" t="n"/>
      <c r="S24" s="3" t="n"/>
      <c r="T24" s="3" t="n"/>
      <c r="U24" s="3" t="n"/>
      <c r="AA24">
        <f>E24 *1.88541666666666</f>
        <v/>
      </c>
      <c r="AB24" s="3">
        <f> 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Butterfree</t>
        </is>
      </c>
      <c r="B25" s="3" t="inlineStr">
        <is>
          <t>uncommon</t>
        </is>
      </c>
      <c r="C25" s="3" t="n">
        <v>33</v>
      </c>
      <c r="D25" s="3" t="n">
        <v>0.06</v>
      </c>
      <c r="E25" s="3" t="n">
        <v>0.16</v>
      </c>
      <c r="F25" s="3">
        <f>IF(B25:B233="common", 4, IF(B25:B233="uncommon", 3, IF(B25:B233="rare", 0.792892156862745,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>
        <f>IF(C25="", 0, 1 / C25)</f>
        <v/>
      </c>
      <c r="P25">
        <f>F25 *O25</f>
        <v/>
      </c>
      <c r="Q25">
        <f> O25 *(D25 - P25)^2</f>
        <v/>
      </c>
      <c r="R25" s="3" t="n"/>
      <c r="S25" s="3" t="n"/>
      <c r="T25" s="3" t="n"/>
      <c r="U25" s="3" t="n"/>
      <c r="AA25">
        <f>E25 *1.88541666666666</f>
        <v/>
      </c>
      <c r="AB25" s="3">
        <f> 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Caterpie - 010/165</t>
        </is>
      </c>
      <c r="B26" s="3" t="inlineStr">
        <is>
          <t>common</t>
        </is>
      </c>
      <c r="C26" s="3" t="n">
        <v>46</v>
      </c>
      <c r="D26" s="3" t="n">
        <v>0.05</v>
      </c>
      <c r="E26" s="3" t="n">
        <v>0.21</v>
      </c>
      <c r="F26" s="3">
        <f>IF(B26:B234="common", 4, IF(B26:B234="uncommon", 3, IF(B26:B234="rare", 0.792892156862745,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>
        <f>IF(C26="", 0, 1 / C26)</f>
        <v/>
      </c>
      <c r="P26">
        <f>F26 *O26</f>
        <v/>
      </c>
      <c r="Q26">
        <f> O26 *(D26 - P26)^2</f>
        <v/>
      </c>
      <c r="R26" s="3" t="n"/>
      <c r="S26" s="3" t="n"/>
      <c r="T26" s="3" t="n"/>
      <c r="U26" s="3" t="n"/>
      <c r="AA26">
        <f>E26 *1.88541666666666</f>
        <v/>
      </c>
      <c r="AB26" s="3">
        <f> 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Caterpie - 172/165</t>
        </is>
      </c>
      <c r="B27" s="3" t="inlineStr">
        <is>
          <t>illustration rare</t>
        </is>
      </c>
      <c r="C27" s="3" t="n">
        <v>188</v>
      </c>
      <c r="D27" s="3" t="n">
        <v>8.130000000000001</v>
      </c>
      <c r="E27" s="3" t="inlineStr"/>
      <c r="F27" s="3">
        <f>IF(B27:B235="common", 4, IF(B27:B235="uncommon", 3, IF(B27:B235="rare", 0.792892156862745,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>
        <f>IF(C27="", 0, 1 / C27)</f>
        <v/>
      </c>
      <c r="P27">
        <f>F27 *O27</f>
        <v/>
      </c>
      <c r="Q27">
        <f> O27 *(D27 - P27)^2</f>
        <v/>
      </c>
      <c r="R27" s="3" t="n"/>
      <c r="S27" s="3" t="n"/>
      <c r="T27" s="3" t="n"/>
      <c r="U27" s="3" t="n"/>
      <c r="AA27">
        <f>E27 *1.88541666666666</f>
        <v/>
      </c>
      <c r="AB27" s="3">
        <f> 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Chansey</t>
        </is>
      </c>
      <c r="B28" s="3" t="inlineStr">
        <is>
          <t>rare</t>
        </is>
      </c>
      <c r="C28" s="3" t="n">
        <v>21</v>
      </c>
      <c r="D28" s="3" t="n">
        <v>0.2</v>
      </c>
      <c r="E28" s="3" t="n">
        <v>0.8</v>
      </c>
      <c r="F28" s="3">
        <f>IF(B28:B236="common", 4, IF(B28:B236="uncommon", 3, IF(B28:B236="rare", 0.792892156862745,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>
        <f>IF(C28="", 0, 1 / C28)</f>
        <v/>
      </c>
      <c r="P28">
        <f>F28 *O28</f>
        <v/>
      </c>
      <c r="Q28">
        <f> O28 *(D28 - P28)^2</f>
        <v/>
      </c>
      <c r="R28" s="3" t="n"/>
      <c r="S28" s="3" t="n"/>
      <c r="T28" s="3" t="n"/>
      <c r="U28" s="3" t="n"/>
      <c r="AA28">
        <f>E28 *1.88541666666666</f>
        <v/>
      </c>
      <c r="AB28" s="3">
        <f> 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Charizard ex - 006/165</t>
        </is>
      </c>
      <c r="B29" s="3" t="inlineStr">
        <is>
          <t>double rare</t>
        </is>
      </c>
      <c r="C29" s="3" t="n">
        <v>90</v>
      </c>
      <c r="D29" s="3" t="n">
        <v>3.9</v>
      </c>
      <c r="E29" s="3" t="inlineStr"/>
      <c r="F29" s="3">
        <f>IF(B29:B237="common", 4, IF(B29:B237="uncommon", 3, IF(B29:B237="rare", 0.792892156862745,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>
        <f>IF(C29="", 0, 1 / C29)</f>
        <v/>
      </c>
      <c r="P29">
        <f>F29 *O29</f>
        <v/>
      </c>
      <c r="Q29">
        <f> O29 *(D29 - P29)^2</f>
        <v/>
      </c>
      <c r="R29" s="3" t="n"/>
      <c r="S29" s="3" t="n"/>
      <c r="T29" s="3" t="n"/>
      <c r="U29" s="3" t="n"/>
      <c r="AA29">
        <f>E29 *1.88541666666666</f>
        <v/>
      </c>
      <c r="AB29" s="3">
        <f> 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Charizard ex - 183/165</t>
        </is>
      </c>
      <c r="B30" s="3" t="inlineStr">
        <is>
          <t>ultra rare</t>
        </is>
      </c>
      <c r="C30" s="3" t="n">
        <v>248</v>
      </c>
      <c r="D30" s="3" t="n">
        <v>25.56</v>
      </c>
      <c r="E30" s="3" t="inlineStr"/>
      <c r="F30" s="3">
        <f>IF(B30:B238="common", 4, IF(B30:B238="uncommon", 3, IF(B30:B238="rare", 0.792892156862745,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O30">
        <f>IF(C30="", 0, 1 / C30)</f>
        <v/>
      </c>
      <c r="P30">
        <f>F30 *O30</f>
        <v/>
      </c>
      <c r="Q30">
        <f> O30 *(D30 - P30)^2</f>
        <v/>
      </c>
      <c r="R30" s="3" t="n"/>
      <c r="S30" s="3" t="n"/>
      <c r="T30" s="3" t="n"/>
      <c r="U30" s="3" t="n"/>
      <c r="AA30">
        <f>E30 *1.88541666666666</f>
        <v/>
      </c>
      <c r="AB30" s="3">
        <f> 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Charizard ex - 199/165</t>
        </is>
      </c>
      <c r="B31" s="3" t="inlineStr">
        <is>
          <t>special illustration rare</t>
        </is>
      </c>
      <c r="C31" s="3" t="n">
        <v>225</v>
      </c>
      <c r="D31" s="3" t="n">
        <v>196.45</v>
      </c>
      <c r="E31" s="3" t="inlineStr"/>
      <c r="F31" s="3">
        <f>IF(B31:B239="common", 4, IF(B31:B239="uncommon", 3, IF(B31:B239="rare", 0.792892156862745,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O31">
        <f>IF(C31="", 0, 1 / C31)</f>
        <v/>
      </c>
      <c r="P31">
        <f>F31 *O31</f>
        <v/>
      </c>
      <c r="Q31">
        <f> O31 *(D31 - P31)^2</f>
        <v/>
      </c>
      <c r="R31" s="3" t="n"/>
      <c r="S31" s="3" t="n"/>
      <c r="T31" s="3" t="n"/>
      <c r="U31" s="3" t="n"/>
      <c r="AA31">
        <f>E31 *1.88541666666666</f>
        <v/>
      </c>
      <c r="AB31" s="3">
        <f> 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Charmander - 004/165</t>
        </is>
      </c>
      <c r="B32" s="3" t="inlineStr">
        <is>
          <t>common</t>
        </is>
      </c>
      <c r="C32" s="3" t="n">
        <v>46</v>
      </c>
      <c r="D32" s="3" t="n">
        <v>0.15</v>
      </c>
      <c r="E32" s="3" t="n">
        <v>0.2</v>
      </c>
      <c r="F32" s="3">
        <f>IF(B32:B240="common", 4, IF(B32:B240="uncommon", 3, IF(B32:B240="rare", 0.792892156862745,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O32">
        <f>IF(C32="", 0, 1 / C32)</f>
        <v/>
      </c>
      <c r="P32">
        <f>F32 *O32</f>
        <v/>
      </c>
      <c r="Q32">
        <f> O32 *(D32 - P32)^2</f>
        <v/>
      </c>
      <c r="R32" s="3" t="n"/>
      <c r="S32" s="3" t="n"/>
      <c r="T32" s="3" t="n"/>
      <c r="U32" s="3" t="n"/>
      <c r="AA32">
        <f>E32 *1.88541666666666</f>
        <v/>
      </c>
      <c r="AB32" s="3">
        <f> 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Charmander - 168/165</t>
        </is>
      </c>
      <c r="B33" s="3" t="inlineStr">
        <is>
          <t>illustration rare</t>
        </is>
      </c>
      <c r="C33" s="3" t="n">
        <v>188</v>
      </c>
      <c r="D33" s="3" t="n">
        <v>44.46</v>
      </c>
      <c r="E33" s="3" t="inlineStr"/>
      <c r="F33" s="3">
        <f>IF(B33:B241="common", 4, IF(B33:B241="uncommon", 3, IF(B33:B241="rare", 0.792892156862745,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O33">
        <f>IF(C33="", 0, 1 / C33)</f>
        <v/>
      </c>
      <c r="P33">
        <f>F33 *O33</f>
        <v/>
      </c>
      <c r="Q33">
        <f> O33 *(D33 - P33)^2</f>
        <v/>
      </c>
      <c r="R33" s="3" t="n"/>
      <c r="S33" s="3" t="n"/>
      <c r="T33" s="3" t="n"/>
      <c r="U33" s="3" t="n"/>
      <c r="AA33">
        <f>E33 *1.88541666666666</f>
        <v/>
      </c>
      <c r="AB33" s="3">
        <f> 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Charmeleon - 005/165</t>
        </is>
      </c>
      <c r="B34" s="3" t="inlineStr">
        <is>
          <t>uncommon</t>
        </is>
      </c>
      <c r="C34" s="3" t="n">
        <v>33</v>
      </c>
      <c r="D34" s="3" t="n">
        <v>0.14</v>
      </c>
      <c r="E34" s="3" t="n">
        <v>0.32</v>
      </c>
      <c r="F34" s="3">
        <f>IF(B34:B242="common", 4, IF(B34:B242="uncommon", 3, IF(B34:B242="rare", 0.792892156862745,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O34">
        <f>IF(C34="", 0, 1 / C34)</f>
        <v/>
      </c>
      <c r="P34">
        <f>F34 *O34</f>
        <v/>
      </c>
      <c r="Q34">
        <f> O34 *(D34 - P34)^2</f>
        <v/>
      </c>
      <c r="R34" s="3" t="n"/>
      <c r="S34" s="3" t="n"/>
      <c r="T34" s="3" t="n"/>
      <c r="U34" s="3" t="n"/>
      <c r="AA34">
        <f>E34 *1.88541666666666</f>
        <v/>
      </c>
      <c r="AB34" s="3">
        <f> 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Charmeleon - 169/165</t>
        </is>
      </c>
      <c r="B35" s="3" t="inlineStr">
        <is>
          <t>illustration rare</t>
        </is>
      </c>
      <c r="C35" s="3" t="n">
        <v>188</v>
      </c>
      <c r="D35" s="3" t="n">
        <v>30.92</v>
      </c>
      <c r="E35" s="3" t="inlineStr"/>
      <c r="F35" s="3">
        <f>IF(B35:B243="common", 4, IF(B35:B243="uncommon", 3, IF(B35:B243="rare", 0.792892156862745,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O35">
        <f>IF(C35="", 0, 1 / C35)</f>
        <v/>
      </c>
      <c r="P35">
        <f>F35 *O35</f>
        <v/>
      </c>
      <c r="Q35">
        <f> O35 *(D35 - P35)^2</f>
        <v/>
      </c>
      <c r="R35" s="3" t="n"/>
      <c r="S35" s="3" t="n"/>
      <c r="T35" s="3" t="n"/>
      <c r="U35" s="3" t="n"/>
      <c r="AA35">
        <f>E35 *1.88541666666666</f>
        <v/>
      </c>
      <c r="AB35" s="3">
        <f> 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Clefable</t>
        </is>
      </c>
      <c r="B36" s="3" t="inlineStr">
        <is>
          <t>uncommon</t>
        </is>
      </c>
      <c r="C36" s="3" t="n">
        <v>33</v>
      </c>
      <c r="D36" s="3" t="n">
        <v>0.08</v>
      </c>
      <c r="E36" s="3" t="n">
        <v>0.21</v>
      </c>
      <c r="F36" s="3">
        <f>IF(B36:B244="common", 4, IF(B36:B244="uncommon", 3, IF(B36:B244="rare", 0.792892156862745,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O36">
        <f>IF(C36="", 0, 1 / C36)</f>
        <v/>
      </c>
      <c r="P36">
        <f>F36 *O36</f>
        <v/>
      </c>
      <c r="Q36">
        <f> O36 *(D36 - P36)^2</f>
        <v/>
      </c>
      <c r="R36" s="3" t="n"/>
      <c r="S36" s="3" t="n"/>
      <c r="T36" s="3" t="n"/>
      <c r="U36" s="3" t="n"/>
      <c r="AA36">
        <f>E36 *1.88541666666666</f>
        <v/>
      </c>
      <c r="AB36" s="3">
        <f> 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Clefairy</t>
        </is>
      </c>
      <c r="B37" s="3" t="inlineStr">
        <is>
          <t>common</t>
        </is>
      </c>
      <c r="C37" s="3" t="n">
        <v>46</v>
      </c>
      <c r="D37" s="3" t="n">
        <v>0.06</v>
      </c>
      <c r="E37" s="3" t="n">
        <v>0.17</v>
      </c>
      <c r="F37" s="3">
        <f>IF(B37:B245="common", 4, IF(B37:B245="uncommon", 3, IF(B37:B245="rare", 0.792892156862745,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O37">
        <f>IF(C37="", 0, 1 / C37)</f>
        <v/>
      </c>
      <c r="P37">
        <f>F37 *O37</f>
        <v/>
      </c>
      <c r="Q37">
        <f> O37 *(D37 - P37)^2</f>
        <v/>
      </c>
      <c r="R37" s="3" t="n"/>
      <c r="S37" s="3" t="n"/>
      <c r="T37" s="3" t="n"/>
      <c r="U37" s="3" t="n"/>
      <c r="AA37">
        <f>E37 *1.88541666666666</f>
        <v/>
      </c>
      <c r="AB37" s="3">
        <f> 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Cloyster</t>
        </is>
      </c>
      <c r="B38" s="3" t="inlineStr">
        <is>
          <t>uncommon</t>
        </is>
      </c>
      <c r="C38" s="3" t="n">
        <v>33</v>
      </c>
      <c r="D38" s="3" t="n">
        <v>0.08</v>
      </c>
      <c r="E38" s="3" t="n">
        <v>0.2</v>
      </c>
      <c r="F38" s="3">
        <f>IF(B38:B246="common", 4, IF(B38:B246="uncommon", 3, IF(B38:B246="rare", 0.792892156862745,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O38">
        <f>IF(C38="", 0, 1 / C38)</f>
        <v/>
      </c>
      <c r="P38">
        <f>F38 *O38</f>
        <v/>
      </c>
      <c r="Q38">
        <f> O38 *(D38 - P38)^2</f>
        <v/>
      </c>
      <c r="R38" s="3" t="n"/>
      <c r="S38" s="3" t="n"/>
      <c r="T38" s="3" t="n"/>
      <c r="U38" s="3" t="n"/>
      <c r="AA38">
        <f>E38 *1.88541666666666</f>
        <v/>
      </c>
      <c r="AB38" s="3">
        <f> 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Cubone</t>
        </is>
      </c>
      <c r="B39" s="3" t="inlineStr">
        <is>
          <t>common</t>
        </is>
      </c>
      <c r="C39" s="3" t="n">
        <v>46</v>
      </c>
      <c r="D39" s="3" t="n">
        <v>0.08</v>
      </c>
      <c r="E39" s="3" t="n">
        <v>0.2</v>
      </c>
      <c r="F39" s="3">
        <f>IF(B39:B247="common", 4, IF(B39:B247="uncommon", 3, IF(B39:B247="rare", 0.792892156862745,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O39">
        <f>IF(C39="", 0, 1 / C39)</f>
        <v/>
      </c>
      <c r="P39">
        <f>F39 *O39</f>
        <v/>
      </c>
      <c r="Q39">
        <f> O39 *(D39 - P39)^2</f>
        <v/>
      </c>
      <c r="R39" s="3" t="n"/>
      <c r="S39" s="3" t="n"/>
      <c r="T39" s="3" t="n"/>
      <c r="U39" s="3" t="n"/>
      <c r="AA39">
        <f>E39 *1.88541666666666</f>
        <v/>
      </c>
      <c r="AB39" s="3">
        <f> 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Cycling Road</t>
        </is>
      </c>
      <c r="B40" s="3" t="inlineStr">
        <is>
          <t>uncommon</t>
        </is>
      </c>
      <c r="C40" s="3" t="n">
        <v>33</v>
      </c>
      <c r="D40" s="3" t="n">
        <v>0.08</v>
      </c>
      <c r="E40" s="3" t="n">
        <v>0.65</v>
      </c>
      <c r="F40" s="3">
        <f>IF(B40:B248="common", 4, IF(B40:B248="uncommon", 3, IF(B40:B248="rare", 0.792892156862745,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O40">
        <f>IF(C40="", 0, 1 / C40)</f>
        <v/>
      </c>
      <c r="P40">
        <f>F40 *O40</f>
        <v/>
      </c>
      <c r="Q40">
        <f> O40 *(D40 - P40)^2</f>
        <v/>
      </c>
      <c r="R40" s="3" t="n"/>
      <c r="S40" s="3" t="n"/>
      <c r="T40" s="3" t="n"/>
      <c r="U40" s="3" t="n"/>
      <c r="AA40">
        <f>E40 *1.88541666666666</f>
        <v/>
      </c>
      <c r="AB40" s="3">
        <f> 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Daisy's Help - 158/165</t>
        </is>
      </c>
      <c r="B41" s="3" t="inlineStr">
        <is>
          <t>uncommon</t>
        </is>
      </c>
      <c r="C41" s="3" t="n">
        <v>33</v>
      </c>
      <c r="D41" s="3" t="n">
        <v>0.11</v>
      </c>
      <c r="E41" s="3" t="n">
        <v>0.5</v>
      </c>
      <c r="F41" s="3">
        <f>IF(B41:B249="common", 4, IF(B41:B249="uncommon", 3, IF(B41:B249="rare", 0.792892156862745,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O41">
        <f>IF(C41="", 0, 1 / C41)</f>
        <v/>
      </c>
      <c r="P41">
        <f>F41 *O41</f>
        <v/>
      </c>
      <c r="Q41">
        <f> O41 *(D41 - P41)^2</f>
        <v/>
      </c>
      <c r="R41" s="3" t="n"/>
      <c r="S41" s="3" t="n"/>
      <c r="T41" s="3" t="n"/>
      <c r="U41" s="3" t="n"/>
      <c r="AA41">
        <f>E41 *1.88541666666666</f>
        <v/>
      </c>
      <c r="AB41" s="3">
        <f> 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Daisy's Help - 195/165</t>
        </is>
      </c>
      <c r="B42" s="3" t="inlineStr">
        <is>
          <t>ultra rare</t>
        </is>
      </c>
      <c r="C42" s="3" t="n">
        <v>248</v>
      </c>
      <c r="D42" s="3" t="n">
        <v>3.28</v>
      </c>
      <c r="E42" s="3" t="inlineStr"/>
      <c r="F42" s="3">
        <f>IF(B42:B250="common", 4, IF(B42:B250="uncommon", 3, IF(B42:B250="rare", 0.792892156862745,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O42">
        <f>IF(C42="", 0, 1 / C42)</f>
        <v/>
      </c>
      <c r="P42">
        <f>F42 *O42</f>
        <v/>
      </c>
      <c r="Q42">
        <f> O42 *(D42 - P42)^2</f>
        <v/>
      </c>
      <c r="R42" s="3" t="n"/>
      <c r="S42" s="3" t="n"/>
      <c r="T42" s="3" t="n"/>
      <c r="U42" s="3" t="n"/>
      <c r="AA42">
        <f>E42 *1.88541666666666</f>
        <v/>
      </c>
      <c r="AB42" s="3">
        <f> 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Dewgong</t>
        </is>
      </c>
      <c r="B43" s="3" t="inlineStr">
        <is>
          <t>uncommon</t>
        </is>
      </c>
      <c r="C43" s="3" t="n">
        <v>33</v>
      </c>
      <c r="D43" s="3" t="n">
        <v>0.05</v>
      </c>
      <c r="E43" s="3" t="n">
        <v>0.17</v>
      </c>
      <c r="F43" s="3">
        <f>IF(B43:B251="common", 4, IF(B43:B251="uncommon", 3, IF(B43:B251="rare", 0.792892156862745,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O43">
        <f>IF(C43="", 0, 1 / C43)</f>
        <v/>
      </c>
      <c r="P43">
        <f>F43 *O43</f>
        <v/>
      </c>
      <c r="Q43">
        <f> O43 *(D43 - P43)^2</f>
        <v/>
      </c>
      <c r="R43" s="3" t="n"/>
      <c r="S43" s="3" t="n"/>
      <c r="T43" s="3" t="n"/>
      <c r="U43" s="3" t="n"/>
      <c r="AA43">
        <f>E43 *1.88541666666666</f>
        <v/>
      </c>
      <c r="AB43" s="3">
        <f> 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Diglett</t>
        </is>
      </c>
      <c r="B44" s="3" t="inlineStr">
        <is>
          <t>common</t>
        </is>
      </c>
      <c r="C44" s="3" t="n">
        <v>46</v>
      </c>
      <c r="D44" s="3" t="n">
        <v>0.07000000000000001</v>
      </c>
      <c r="E44" s="3" t="n">
        <v>0.16</v>
      </c>
      <c r="F44" s="3">
        <f>IF(B44:B252="common", 4, IF(B44:B252="uncommon", 3, IF(B44:B252="rare", 0.792892156862745,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O44">
        <f>IF(C44="", 0, 1 / C44)</f>
        <v/>
      </c>
      <c r="P44">
        <f>F44 *O44</f>
        <v/>
      </c>
      <c r="Q44">
        <f> O44 *(D44 - P44)^2</f>
        <v/>
      </c>
      <c r="R44" s="3" t="n"/>
      <c r="S44" s="3" t="n"/>
      <c r="T44" s="3" t="n"/>
      <c r="U44" s="3" t="n"/>
      <c r="AA44">
        <f>E44 *1.88541666666666</f>
        <v/>
      </c>
      <c r="AB44" s="3">
        <f> 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Ditto</t>
        </is>
      </c>
      <c r="B45" s="3" t="inlineStr">
        <is>
          <t>rare</t>
        </is>
      </c>
      <c r="C45" s="3" t="n">
        <v>21</v>
      </c>
      <c r="D45" s="3" t="n">
        <v>0.24</v>
      </c>
      <c r="E45" s="3" t="n">
        <v>0.8100000000000001</v>
      </c>
      <c r="F45" s="3">
        <f>IF(B45:B253="common", 4, IF(B45:B253="uncommon", 3, IF(B45:B253="rare", 0.792892156862745,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O45">
        <f>IF(C45="", 0, 1 / C45)</f>
        <v/>
      </c>
      <c r="P45">
        <f>F45 *O45</f>
        <v/>
      </c>
      <c r="Q45">
        <f> O45 *(D45 - P45)^2</f>
        <v/>
      </c>
      <c r="R45" s="3" t="n"/>
      <c r="S45" s="3" t="n"/>
      <c r="T45" s="3" t="n"/>
      <c r="U45" s="3" t="n"/>
      <c r="AA45">
        <f>E45 *1.88541666666666</f>
        <v/>
      </c>
      <c r="AB45" s="3">
        <f> 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Ditto - 132/165 (Non-Holo)</t>
        </is>
      </c>
      <c r="B46" s="3" t="inlineStr">
        <is>
          <t>rare</t>
        </is>
      </c>
      <c r="C46" s="3" t="n">
        <v>21</v>
      </c>
      <c r="D46" s="3" t="n">
        <v>0.29</v>
      </c>
      <c r="E46" s="3" t="inlineStr"/>
      <c r="F46" s="3">
        <f>IF(B46:B254="common", 4, IF(B46:B254="uncommon", 3, IF(B46:B254="rare", 0.792892156862745,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O46">
        <f>IF(C46="", 0, 1 / C46)</f>
        <v/>
      </c>
      <c r="P46">
        <f>F46 *O46</f>
        <v/>
      </c>
      <c r="Q46">
        <f> O46 *(D46 - P46)^2</f>
        <v/>
      </c>
      <c r="R46" s="3" t="n"/>
      <c r="S46" s="3" t="n"/>
      <c r="T46" s="3" t="n"/>
      <c r="U46" s="3" t="n"/>
      <c r="AA46">
        <f>E46 *1.88541666666666</f>
        <v/>
      </c>
      <c r="AB46" s="3">
        <f> 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Dodrio</t>
        </is>
      </c>
      <c r="B47" s="3" t="inlineStr">
        <is>
          <t>rare</t>
        </is>
      </c>
      <c r="C47" s="3" t="n">
        <v>21</v>
      </c>
      <c r="D47" s="3" t="n">
        <v>0.12</v>
      </c>
      <c r="E47" s="3" t="n">
        <v>0.71</v>
      </c>
      <c r="F47" s="3">
        <f>IF(B47:B255="common", 4, IF(B47:B255="uncommon", 3, IF(B47:B255="rare", 0.792892156862745,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O47">
        <f>IF(C47="", 0, 1 / C47)</f>
        <v/>
      </c>
      <c r="P47">
        <f>F47 *O47</f>
        <v/>
      </c>
      <c r="Q47">
        <f> O47 *(D47 - P47)^2</f>
        <v/>
      </c>
      <c r="R47" s="3" t="n"/>
      <c r="S47" s="3" t="n"/>
      <c r="T47" s="3" t="n"/>
      <c r="U47" s="3" t="n"/>
      <c r="AA47">
        <f>E47 *1.88541666666666</f>
        <v/>
      </c>
      <c r="AB47" s="3">
        <f> 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Doduo</t>
        </is>
      </c>
      <c r="B48" s="3" t="inlineStr">
        <is>
          <t>common</t>
        </is>
      </c>
      <c r="C48" s="3" t="n">
        <v>46</v>
      </c>
      <c r="D48" s="3" t="n">
        <v>0.05</v>
      </c>
      <c r="E48" s="3" t="n">
        <v>0.16</v>
      </c>
      <c r="F48" s="3">
        <f>IF(B48:B256="common", 4, IF(B48:B256="uncommon", 3, IF(B48:B256="rare", 0.792892156862745,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O48">
        <f>IF(C48="", 0, 1 / C48)</f>
        <v/>
      </c>
      <c r="P48">
        <f>F48 *O48</f>
        <v/>
      </c>
      <c r="Q48">
        <f> O48 *(D48 - P48)^2</f>
        <v/>
      </c>
      <c r="R48" s="3" t="n"/>
      <c r="S48" s="3" t="n"/>
      <c r="T48" s="3" t="n"/>
      <c r="U48" s="3" t="n"/>
      <c r="AA48">
        <f>E48 *1.88541666666666</f>
        <v/>
      </c>
      <c r="AB48" s="3">
        <f> 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Dragonair - 148/165</t>
        </is>
      </c>
      <c r="B49" s="3" t="inlineStr">
        <is>
          <t>uncommon</t>
        </is>
      </c>
      <c r="C49" s="3" t="n">
        <v>33</v>
      </c>
      <c r="D49" s="3" t="n">
        <v>0.11</v>
      </c>
      <c r="E49" s="3" t="n">
        <v>1.27</v>
      </c>
      <c r="F49" s="3">
        <f>IF(B49:B257="common", 4, IF(B49:B257="uncommon", 3, IF(B49:B257="rare", 0.792892156862745,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O49">
        <f>IF(C49="", 0, 1 / C49)</f>
        <v/>
      </c>
      <c r="P49">
        <f>F49 *O49</f>
        <v/>
      </c>
      <c r="Q49">
        <f> O49 *(D49 - P49)^2</f>
        <v/>
      </c>
      <c r="R49" s="3" t="n"/>
      <c r="S49" s="3" t="n"/>
      <c r="T49" s="3" t="n"/>
      <c r="U49" s="3" t="n"/>
      <c r="AA49">
        <f>E49 *1.88541666666666</f>
        <v/>
      </c>
      <c r="AB49" s="3">
        <f> 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Dragonair - 181/165</t>
        </is>
      </c>
      <c r="B50" s="3" t="inlineStr">
        <is>
          <t>illustration rare</t>
        </is>
      </c>
      <c r="C50" s="3" t="n">
        <v>188</v>
      </c>
      <c r="D50" s="3" t="n">
        <v>21.15</v>
      </c>
      <c r="E50" s="3" t="inlineStr"/>
      <c r="F50" s="3">
        <f>IF(B50:B258="common", 4, IF(B50:B258="uncommon", 3, IF(B50:B258="rare", 0.792892156862745,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O50">
        <f>IF(C50="", 0, 1 / C50)</f>
        <v/>
      </c>
      <c r="P50">
        <f>F50 *O50</f>
        <v/>
      </c>
      <c r="Q50">
        <f> O50 *(D50 - P50)^2</f>
        <v/>
      </c>
      <c r="R50" s="3" t="n"/>
      <c r="S50" s="3" t="n"/>
      <c r="T50" s="3" t="n"/>
      <c r="U50" s="3" t="n"/>
      <c r="AA50">
        <f>E50 *1.88541666666666</f>
        <v/>
      </c>
      <c r="AB50" s="3">
        <f> 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Dragonite</t>
        </is>
      </c>
      <c r="B51" s="3" t="inlineStr">
        <is>
          <t>rare</t>
        </is>
      </c>
      <c r="C51" s="3" t="n">
        <v>21</v>
      </c>
      <c r="D51" s="3" t="n">
        <v>0.25</v>
      </c>
      <c r="E51" s="3" t="n">
        <v>1.48</v>
      </c>
      <c r="F51" s="3">
        <f>IF(B51:B259="common", 4, IF(B51:B259="uncommon", 3, IF(B51:B259="rare", 0.792892156862745,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O51">
        <f>IF(C51="", 0, 1 / C51)</f>
        <v/>
      </c>
      <c r="P51">
        <f>F51 *O51</f>
        <v/>
      </c>
      <c r="Q51">
        <f> O51 *(D51 - P51)^2</f>
        <v/>
      </c>
      <c r="R51" s="3" t="n"/>
      <c r="S51" s="3" t="n"/>
      <c r="T51" s="3" t="n"/>
      <c r="U51" s="3" t="n"/>
      <c r="AA51">
        <f>E51 *1.88541666666666</f>
        <v/>
      </c>
      <c r="AB51" s="3">
        <f> 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Dratini</t>
        </is>
      </c>
      <c r="B52" s="3" t="inlineStr">
        <is>
          <t>common</t>
        </is>
      </c>
      <c r="C52" s="3" t="n">
        <v>46</v>
      </c>
      <c r="D52" s="3" t="n">
        <v>0.11</v>
      </c>
      <c r="E52" s="3" t="n">
        <v>0.19</v>
      </c>
      <c r="F52" s="3">
        <f>IF(B52:B260="common", 4, IF(B52:B260="uncommon", 3, IF(B52:B260="rare", 0.792892156862745,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O52">
        <f>IF(C52="", 0, 1 / C52)</f>
        <v/>
      </c>
      <c r="P52">
        <f>F52 *O52</f>
        <v/>
      </c>
      <c r="Q52">
        <f> O52 *(D52 - P52)^2</f>
        <v/>
      </c>
      <c r="R52" s="3" t="n"/>
      <c r="S52" s="3" t="n"/>
      <c r="T52" s="3" t="n"/>
      <c r="U52" s="3" t="n"/>
      <c r="AA52">
        <f>E52 *1.88541666666666</f>
        <v/>
      </c>
      <c r="AB52" s="3">
        <f> 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Drowzee</t>
        </is>
      </c>
      <c r="B53" s="3" t="inlineStr">
        <is>
          <t>common</t>
        </is>
      </c>
      <c r="C53" s="3" t="n">
        <v>46</v>
      </c>
      <c r="D53" s="3" t="n">
        <v>0.05</v>
      </c>
      <c r="E53" s="3" t="n">
        <v>0.15</v>
      </c>
      <c r="F53" s="3">
        <f>IF(B53:B261="common", 4, IF(B53:B261="uncommon", 3, IF(B53:B261="rare", 0.792892156862745,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O53">
        <f>IF(C53="", 0, 1 / C53)</f>
        <v/>
      </c>
      <c r="P53">
        <f>F53 *O53</f>
        <v/>
      </c>
      <c r="Q53">
        <f> O53 *(D53 - P53)^2</f>
        <v/>
      </c>
      <c r="R53" s="3" t="n"/>
      <c r="S53" s="3" t="n"/>
      <c r="T53" s="3" t="n"/>
      <c r="U53" s="3" t="n"/>
      <c r="AA53">
        <f>E53 *1.88541666666666</f>
        <v/>
      </c>
      <c r="AB53" s="3">
        <f> 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Dugtrio</t>
        </is>
      </c>
      <c r="B54" s="3" t="inlineStr">
        <is>
          <t>uncommon</t>
        </is>
      </c>
      <c r="C54" s="3" t="n">
        <v>33</v>
      </c>
      <c r="D54" s="3" t="n">
        <v>0.06</v>
      </c>
      <c r="E54" s="3" t="n">
        <v>0.2</v>
      </c>
      <c r="F54" s="3">
        <f>IF(B54:B262="common", 4, IF(B54:B262="uncommon", 3, IF(B54:B262="rare", 0.792892156862745,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O54">
        <f>IF(C54="", 0, 1 / C54)</f>
        <v/>
      </c>
      <c r="P54">
        <f>F54 *O54</f>
        <v/>
      </c>
      <c r="Q54">
        <f> O54 *(D54 - P54)^2</f>
        <v/>
      </c>
      <c r="R54" s="3" t="n"/>
      <c r="S54" s="3" t="n"/>
      <c r="T54" s="3" t="n"/>
      <c r="U54" s="3" t="n"/>
      <c r="AA54">
        <f>E54 *1.88541666666666</f>
        <v/>
      </c>
      <c r="AB54" s="3">
        <f> 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Eevee</t>
        </is>
      </c>
      <c r="B55" s="3" t="inlineStr">
        <is>
          <t>common</t>
        </is>
      </c>
      <c r="C55" s="3" t="n">
        <v>46</v>
      </c>
      <c r="D55" s="3" t="n">
        <v>0.09</v>
      </c>
      <c r="E55" s="3" t="n">
        <v>0.28</v>
      </c>
      <c r="F55" s="3">
        <f>IF(B55:B263="common", 4, IF(B55:B263="uncommon", 3, IF(B55:B263="rare", 0.792892156862745,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O55">
        <f>IF(C55="", 0, 1 / C55)</f>
        <v/>
      </c>
      <c r="P55">
        <f>F55 *O55</f>
        <v/>
      </c>
      <c r="Q55">
        <f> O55 *(D55 - P55)^2</f>
        <v/>
      </c>
      <c r="R55" s="3" t="n"/>
      <c r="S55" s="3" t="n"/>
      <c r="T55" s="3" t="n"/>
      <c r="U55" s="3" t="n"/>
      <c r="AA55">
        <f>E55 *1.88541666666666</f>
        <v/>
      </c>
      <c r="AB55" s="3">
        <f> 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Ekans</t>
        </is>
      </c>
      <c r="B56" s="3" t="inlineStr">
        <is>
          <t>common</t>
        </is>
      </c>
      <c r="C56" s="3" t="n">
        <v>46</v>
      </c>
      <c r="D56" s="3" t="n">
        <v>0.05</v>
      </c>
      <c r="E56" s="3" t="n">
        <v>0.16</v>
      </c>
      <c r="F56" s="3">
        <f>IF(B56:B264="common", 4, IF(B56:B264="uncommon", 3, IF(B56:B264="rare", 0.792892156862745,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O56">
        <f>IF(C56="", 0, 1 / C56)</f>
        <v/>
      </c>
      <c r="P56">
        <f>F56 *O56</f>
        <v/>
      </c>
      <c r="Q56">
        <f> O56 *(D56 - P56)^2</f>
        <v/>
      </c>
      <c r="R56" s="3" t="n"/>
      <c r="S56" s="3" t="n"/>
      <c r="T56" s="3" t="n"/>
      <c r="U56" s="3" t="n"/>
      <c r="AA56">
        <f>E56 *1.88541666666666</f>
        <v/>
      </c>
      <c r="AB56" s="3">
        <f> 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Electabuzz</t>
        </is>
      </c>
      <c r="B57" s="3" t="inlineStr">
        <is>
          <t>common</t>
        </is>
      </c>
      <c r="C57" s="3" t="n">
        <v>46</v>
      </c>
      <c r="D57" s="3" t="n">
        <v>0.1</v>
      </c>
      <c r="E57" s="3" t="n">
        <v>0.55</v>
      </c>
      <c r="F57" s="3">
        <f>IF(B57:B265="common", 4, IF(B57:B265="uncommon", 3, IF(B57:B265="rare", 0.792892156862745,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O57">
        <f>IF(C57="", 0, 1 / C57)</f>
        <v/>
      </c>
      <c r="P57">
        <f>F57 *O57</f>
        <v/>
      </c>
      <c r="Q57">
        <f> O57 *(D57 - P57)^2</f>
        <v/>
      </c>
      <c r="R57" s="3" t="n"/>
      <c r="S57" s="3" t="n"/>
      <c r="T57" s="3" t="n"/>
      <c r="U57" s="3" t="n"/>
      <c r="AA57">
        <f>E57 *1.88541666666666</f>
        <v/>
      </c>
      <c r="AB57" s="3">
        <f> 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Electrode</t>
        </is>
      </c>
      <c r="B58" s="3" t="inlineStr">
        <is>
          <t>rare</t>
        </is>
      </c>
      <c r="C58" s="3" t="n">
        <v>21</v>
      </c>
      <c r="D58" s="3" t="n">
        <v>0.12</v>
      </c>
      <c r="E58" s="3" t="n">
        <v>1.01</v>
      </c>
      <c r="F58" s="3">
        <f>IF(B58:B266="common", 4, IF(B58:B266="uncommon", 3, IF(B58:B266="rare", 0.792892156862745,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O58">
        <f>IF(C58="", 0, 1 / C58)</f>
        <v/>
      </c>
      <c r="P58">
        <f>F58 *O58</f>
        <v/>
      </c>
      <c r="Q58">
        <f> O58 *(D58 - P58)^2</f>
        <v/>
      </c>
      <c r="R58" s="3" t="n"/>
      <c r="S58" s="3" t="n"/>
      <c r="T58" s="3" t="n"/>
      <c r="U58" s="3" t="n"/>
      <c r="AA58">
        <f>E58 *1.88541666666666</f>
        <v/>
      </c>
      <c r="AB58" s="3">
        <f> 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Energy Sticker</t>
        </is>
      </c>
      <c r="B59" s="3" t="inlineStr">
        <is>
          <t>uncommon</t>
        </is>
      </c>
      <c r="C59" s="3" t="n">
        <v>33</v>
      </c>
      <c r="D59" s="3" t="n">
        <v>0.15</v>
      </c>
      <c r="E59" s="3" t="n">
        <v>0.86</v>
      </c>
      <c r="F59" s="3">
        <f>IF(B59:B267="common", 4, IF(B59:B267="uncommon", 3, IF(B59:B267="rare", 0.792892156862745,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O59">
        <f>IF(C59="", 0, 1 / C59)</f>
        <v/>
      </c>
      <c r="P59">
        <f>F59 *O59</f>
        <v/>
      </c>
      <c r="Q59">
        <f> O59 *(D59 - P59)^2</f>
        <v/>
      </c>
      <c r="R59" s="3" t="n"/>
      <c r="S59" s="3" t="n"/>
      <c r="T59" s="3" t="n"/>
      <c r="U59" s="3" t="n"/>
      <c r="AA59">
        <f>E59 *1.88541666666666</f>
        <v/>
      </c>
      <c r="AB59" s="3">
        <f> 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Erika's Invitation - 160/165</t>
        </is>
      </c>
      <c r="B60" s="3" t="inlineStr">
        <is>
          <t>uncommon</t>
        </is>
      </c>
      <c r="C60" s="3" t="n">
        <v>33</v>
      </c>
      <c r="D60" s="3" t="n">
        <v>0.07000000000000001</v>
      </c>
      <c r="E60" s="3" t="n">
        <v>0.61</v>
      </c>
      <c r="F60" s="3">
        <f>IF(B60:B268="common", 4, IF(B60:B268="uncommon", 3, IF(B60:B268="rare", 0.792892156862745,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O60">
        <f>IF(C60="", 0, 1 / C60)</f>
        <v/>
      </c>
      <c r="P60">
        <f>F60 *O60</f>
        <v/>
      </c>
      <c r="Q60">
        <f> O60 *(D60 - P60)^2</f>
        <v/>
      </c>
      <c r="R60" s="3" t="n"/>
      <c r="S60" s="3" t="n"/>
      <c r="T60" s="3" t="n"/>
      <c r="U60" s="3" t="n"/>
      <c r="AA60">
        <f>E60 *1.88541666666666</f>
        <v/>
      </c>
      <c r="AB60" s="3">
        <f> 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Erika's Invitation - 196/165</t>
        </is>
      </c>
      <c r="B61" s="3" t="inlineStr">
        <is>
          <t>ultra rare</t>
        </is>
      </c>
      <c r="C61" s="3" t="n">
        <v>248</v>
      </c>
      <c r="D61" s="3" t="n">
        <v>6.16</v>
      </c>
      <c r="E61" s="3" t="inlineStr"/>
      <c r="F61" s="3">
        <f>IF(B61:B269="common", 4, IF(B61:B269="uncommon", 3, IF(B61:B269="rare", 0.792892156862745,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O61">
        <f>IF(C61="", 0, 1 / C61)</f>
        <v/>
      </c>
      <c r="P61">
        <f>F61 *O61</f>
        <v/>
      </c>
      <c r="Q61">
        <f> O61 *(D61 - P61)^2</f>
        <v/>
      </c>
      <c r="R61" s="3" t="n"/>
      <c r="S61" s="3" t="n"/>
      <c r="T61" s="3" t="n"/>
      <c r="U61" s="3" t="n"/>
      <c r="AA61">
        <f>E61 *1.88541666666666</f>
        <v/>
      </c>
      <c r="AB61" s="3">
        <f> 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Erika's Invitation - 203/165</t>
        </is>
      </c>
      <c r="B62" s="3" t="inlineStr">
        <is>
          <t>special illustration rare</t>
        </is>
      </c>
      <c r="C62" s="3" t="n">
        <v>225</v>
      </c>
      <c r="D62" s="3" t="n">
        <v>13.12</v>
      </c>
      <c r="E62" s="3" t="inlineStr"/>
      <c r="F62" s="3">
        <f>IF(B62:B270="common", 4, IF(B62:B270="uncommon", 3, IF(B62:B270="rare", 0.792892156862745,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O62">
        <f>IF(C62="", 0, 1 / C62)</f>
        <v/>
      </c>
      <c r="P62">
        <f>F62 *O62</f>
        <v/>
      </c>
      <c r="Q62">
        <f> O62 *(D62 - P62)^2</f>
        <v/>
      </c>
      <c r="R62" s="3" t="n"/>
      <c r="S62" s="3" t="n"/>
      <c r="T62" s="3" t="n"/>
      <c r="U62" s="3" t="n"/>
      <c r="AA62">
        <f>E62 *1.88541666666666</f>
        <v/>
      </c>
      <c r="AB62" s="3">
        <f> 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Exeggcute</t>
        </is>
      </c>
      <c r="B63" s="3" t="inlineStr">
        <is>
          <t>common</t>
        </is>
      </c>
      <c r="C63" s="3" t="n">
        <v>46</v>
      </c>
      <c r="D63" s="3" t="n">
        <v>0.04</v>
      </c>
      <c r="E63" s="3" t="n">
        <v>0.15</v>
      </c>
      <c r="F63" s="3">
        <f>IF(B63:B271="common", 4, IF(B63:B271="uncommon", 3, IF(B63:B271="rare", 0.792892156862745,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O63">
        <f>IF(C63="", 0, 1 / C63)</f>
        <v/>
      </c>
      <c r="P63">
        <f>F63 *O63</f>
        <v/>
      </c>
      <c r="Q63">
        <f> O63 *(D63 - P63)^2</f>
        <v/>
      </c>
      <c r="R63" s="3" t="n"/>
      <c r="S63" s="3" t="n"/>
      <c r="T63" s="3" t="n"/>
      <c r="U63" s="3" t="n"/>
      <c r="AA63">
        <f>E63 *1.88541666666666</f>
        <v/>
      </c>
      <c r="AB63" s="3">
        <f> 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Exeggutor</t>
        </is>
      </c>
      <c r="B64" s="3" t="inlineStr">
        <is>
          <t>uncommon</t>
        </is>
      </c>
      <c r="C64" s="3" t="n">
        <v>33</v>
      </c>
      <c r="D64" s="3" t="n">
        <v>0.09</v>
      </c>
      <c r="E64" s="3" t="n">
        <v>0.8</v>
      </c>
      <c r="F64" s="3">
        <f>IF(B64:B272="common", 4, IF(B64:B272="uncommon", 3, IF(B64:B272="rare", 0.792892156862745,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O64">
        <f>IF(C64="", 0, 1 / C64)</f>
        <v/>
      </c>
      <c r="P64">
        <f>F64 *O64</f>
        <v/>
      </c>
      <c r="Q64">
        <f> O64 *(D64 - P64)^2</f>
        <v/>
      </c>
      <c r="R64" s="3" t="n"/>
      <c r="S64" s="3" t="n"/>
      <c r="T64" s="3" t="n"/>
      <c r="U64" s="3" t="n"/>
      <c r="AA64">
        <f>E64 *1.88541666666666</f>
        <v/>
      </c>
      <c r="AB64" s="3">
        <f> 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Farfetch'd</t>
        </is>
      </c>
      <c r="B65" s="3" t="inlineStr">
        <is>
          <t>common</t>
        </is>
      </c>
      <c r="C65" s="3" t="n">
        <v>46</v>
      </c>
      <c r="D65" s="3" t="n">
        <v>0.06</v>
      </c>
      <c r="E65" s="3" t="n">
        <v>0.17</v>
      </c>
      <c r="F65" s="3">
        <f>IF(B65:B273="common", 4, IF(B65:B273="uncommon", 3, IF(B65:B273="rare", 0.792892156862745,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O65">
        <f>IF(C65="", 0, 1 / C65)</f>
        <v/>
      </c>
      <c r="P65">
        <f>F65 *O65</f>
        <v/>
      </c>
      <c r="Q65">
        <f> O65 *(D65 - P65)^2</f>
        <v/>
      </c>
      <c r="R65" s="3" t="n"/>
      <c r="S65" s="3" t="n"/>
      <c r="T65" s="3" t="n"/>
      <c r="U65" s="3" t="n"/>
      <c r="AA65">
        <f>E65 *1.88541666666666</f>
        <v/>
      </c>
      <c r="AB65" s="3">
        <f> 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Fearow</t>
        </is>
      </c>
      <c r="B66" s="3" t="inlineStr">
        <is>
          <t>uncommon</t>
        </is>
      </c>
      <c r="C66" s="3" t="n">
        <v>33</v>
      </c>
      <c r="D66" s="3" t="n">
        <v>0.07000000000000001</v>
      </c>
      <c r="E66" s="3" t="n">
        <v>0.15</v>
      </c>
      <c r="F66" s="3">
        <f>IF(B66:B274="common", 4, IF(B66:B274="uncommon", 3, IF(B66:B274="rare", 0.792892156862745,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O66">
        <f>IF(C66="", 0, 1 / C66)</f>
        <v/>
      </c>
      <c r="P66">
        <f>F66 *O66</f>
        <v/>
      </c>
      <c r="Q66">
        <f> O66 *(D66 - P66)^2</f>
        <v/>
      </c>
      <c r="R66" s="3" t="n"/>
      <c r="S66" s="3" t="n"/>
      <c r="T66" s="3" t="n"/>
      <c r="U66" s="3" t="n"/>
      <c r="AA66">
        <f>E66 *1.88541666666666</f>
        <v/>
      </c>
      <c r="AB66" s="3">
        <f> 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Flareon</t>
        </is>
      </c>
      <c r="B67" s="3" t="inlineStr">
        <is>
          <t>rare</t>
        </is>
      </c>
      <c r="C67" s="3" t="n">
        <v>21</v>
      </c>
      <c r="D67" s="3" t="n">
        <v>0.23</v>
      </c>
      <c r="E67" s="3" t="n">
        <v>1.26</v>
      </c>
      <c r="F67" s="3">
        <f>IF(B67:B275="common", 4, IF(B67:B275="uncommon", 3, IF(B67:B275="rare", 0.792892156862745,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O67">
        <f>IF(C67="", 0, 1 / C67)</f>
        <v/>
      </c>
      <c r="P67">
        <f>F67 *O67</f>
        <v/>
      </c>
      <c r="Q67">
        <f> O67 *(D67 - P67)^2</f>
        <v/>
      </c>
      <c r="R67" s="3" t="n"/>
      <c r="S67" s="3" t="n"/>
      <c r="T67" s="3" t="n"/>
      <c r="U67" s="3" t="n"/>
      <c r="AA67">
        <f>E67 *1.88541666666666</f>
        <v/>
      </c>
      <c r="AB67" s="3">
        <f> 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Gastly</t>
        </is>
      </c>
      <c r="B68" s="3" t="inlineStr">
        <is>
          <t>common</t>
        </is>
      </c>
      <c r="C68" s="3" t="n">
        <v>46</v>
      </c>
      <c r="D68" s="3" t="n">
        <v>0.07000000000000001</v>
      </c>
      <c r="E68" s="3" t="n">
        <v>0.16</v>
      </c>
      <c r="F68" s="3">
        <f>IF(B68:B276="common", 4, IF(B68:B276="uncommon", 3, IF(B68:B276="rare", 0.792892156862745,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O68">
        <f>IF(C68="", 0, 1 / C68)</f>
        <v/>
      </c>
      <c r="P68">
        <f>F68 *O68</f>
        <v/>
      </c>
      <c r="Q68">
        <f> O68 *(D68 - P68)^2</f>
        <v/>
      </c>
      <c r="R68" s="3" t="n"/>
      <c r="S68" s="3" t="n"/>
      <c r="T68" s="3" t="n"/>
      <c r="U68" s="3" t="n"/>
      <c r="AA68">
        <f>E68 *1.88541666666666</f>
        <v/>
      </c>
      <c r="AB68" s="3">
        <f> 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Gengar</t>
        </is>
      </c>
      <c r="B69" s="3" t="inlineStr">
        <is>
          <t>rare</t>
        </is>
      </c>
      <c r="C69" s="3" t="n">
        <v>21</v>
      </c>
      <c r="D69" s="3" t="n">
        <v>0.33</v>
      </c>
      <c r="E69" s="3" t="n">
        <v>2.32</v>
      </c>
      <c r="F69" s="3">
        <f>IF(B69:B277="common", 4, IF(B69:B277="uncommon", 3, IF(B69:B277="rare", 0.792892156862745,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O69">
        <f>IF(C69="", 0, 1 / C69)</f>
        <v/>
      </c>
      <c r="P69">
        <f>F69 *O69</f>
        <v/>
      </c>
      <c r="Q69">
        <f> O69 *(D69 - P69)^2</f>
        <v/>
      </c>
      <c r="R69" s="3" t="n"/>
      <c r="S69" s="3" t="n"/>
      <c r="T69" s="3" t="n"/>
      <c r="U69" s="3" t="n"/>
      <c r="AA69">
        <f>E69 *1.88541666666666</f>
        <v/>
      </c>
      <c r="AB69" s="3">
        <f> 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Geodude</t>
        </is>
      </c>
      <c r="B70" s="3" t="inlineStr">
        <is>
          <t>common</t>
        </is>
      </c>
      <c r="C70" s="3" t="n">
        <v>46</v>
      </c>
      <c r="D70" s="3" t="n">
        <v>0.05</v>
      </c>
      <c r="E70" s="3" t="n">
        <v>0.13</v>
      </c>
      <c r="F70" s="3">
        <f>IF(B70:B278="common", 4, IF(B70:B278="uncommon", 3, IF(B70:B278="rare", 0.792892156862745,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O70">
        <f>IF(C70="", 0, 1 / C70)</f>
        <v/>
      </c>
      <c r="P70">
        <f>F70 *O70</f>
        <v/>
      </c>
      <c r="Q70">
        <f> O70 *(D70 - P70)^2</f>
        <v/>
      </c>
      <c r="R70" s="3" t="n"/>
      <c r="S70" s="3" t="n"/>
      <c r="T70" s="3" t="n"/>
      <c r="U70" s="3" t="n"/>
      <c r="AA70">
        <f>E70 *1.88541666666666</f>
        <v/>
      </c>
      <c r="AB70" s="3">
        <f> 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Giovanni's Charisma - 161/165</t>
        </is>
      </c>
      <c r="B71" s="3" t="inlineStr">
        <is>
          <t>uncommon</t>
        </is>
      </c>
      <c r="C71" s="3" t="n">
        <v>33</v>
      </c>
      <c r="D71" s="3" t="n">
        <v>0.1</v>
      </c>
      <c r="E71" s="3" t="n">
        <v>0.76</v>
      </c>
      <c r="F71" s="3">
        <f>IF(B71:B279="common", 4, IF(B71:B279="uncommon", 3, IF(B71:B279="rare", 0.792892156862745,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O71">
        <f>IF(C71="", 0, 1 / C71)</f>
        <v/>
      </c>
      <c r="P71">
        <f>F71 *O71</f>
        <v/>
      </c>
      <c r="Q71">
        <f> O71 *(D71 - P71)^2</f>
        <v/>
      </c>
      <c r="R71" s="3" t="n"/>
      <c r="S71" s="3" t="n"/>
      <c r="T71" s="3" t="n"/>
      <c r="U71" s="3" t="n"/>
      <c r="AA71">
        <f>E71 *1.88541666666666</f>
        <v/>
      </c>
      <c r="AB71" s="3">
        <f> 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Giovanni's Charisma - 197/165</t>
        </is>
      </c>
      <c r="B72" s="3" t="inlineStr">
        <is>
          <t>ultra rare</t>
        </is>
      </c>
      <c r="C72" s="3" t="n">
        <v>248</v>
      </c>
      <c r="D72" s="3" t="n">
        <v>4</v>
      </c>
      <c r="E72" s="3" t="inlineStr"/>
      <c r="F72" s="3">
        <f>IF(B72:B280="common", 4, IF(B72:B280="uncommon", 3, IF(B72:B280="rare", 0.792892156862745,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O72">
        <f>IF(C72="", 0, 1 / C72)</f>
        <v/>
      </c>
      <c r="P72">
        <f>F72 *O72</f>
        <v/>
      </c>
      <c r="Q72">
        <f> O72 *(D72 - P72)^2</f>
        <v/>
      </c>
      <c r="R72" s="3" t="n"/>
      <c r="S72" s="3" t="n"/>
      <c r="T72" s="3" t="n"/>
      <c r="U72" s="3" t="n"/>
      <c r="AA72">
        <f>E72 *1.88541666666666</f>
        <v/>
      </c>
      <c r="AB72" s="3">
        <f> 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Giovanni's Charisma - 204/165</t>
        </is>
      </c>
      <c r="B73" s="3" t="inlineStr">
        <is>
          <t>special illustration rare</t>
        </is>
      </c>
      <c r="C73" s="3" t="n">
        <v>225</v>
      </c>
      <c r="D73" s="3" t="n">
        <v>11.57</v>
      </c>
      <c r="E73" s="3" t="inlineStr"/>
      <c r="F73" s="3">
        <f>IF(B73:B281="common", 4, IF(B73:B281="uncommon", 3, IF(B73:B281="rare", 0.792892156862745,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O73">
        <f>IF(C73="", 0, 1 / C73)</f>
        <v/>
      </c>
      <c r="P73">
        <f>F73 *O73</f>
        <v/>
      </c>
      <c r="Q73">
        <f> O73 *(D73 - P73)^2</f>
        <v/>
      </c>
      <c r="R73" s="3" t="n"/>
      <c r="S73" s="3" t="n"/>
      <c r="T73" s="3" t="n"/>
      <c r="U73" s="3" t="n"/>
      <c r="AA73">
        <f>E73 *1.88541666666666</f>
        <v/>
      </c>
      <c r="AB73" s="3">
        <f> 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Gloom</t>
        </is>
      </c>
      <c r="B74" s="3" t="inlineStr">
        <is>
          <t>uncommon</t>
        </is>
      </c>
      <c r="C74" s="3" t="n">
        <v>33</v>
      </c>
      <c r="D74" s="3" t="n">
        <v>0.08</v>
      </c>
      <c r="E74" s="3" t="n">
        <v>0.22</v>
      </c>
      <c r="F74" s="3">
        <f>IF(B74:B282="common", 4, IF(B74:B282="uncommon", 3, IF(B74:B282="rare", 0.792892156862745,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O74">
        <f>IF(C74="", 0, 1 / C74)</f>
        <v/>
      </c>
      <c r="P74">
        <f>F74 *O74</f>
        <v/>
      </c>
      <c r="Q74">
        <f> O74 *(D74 - P74)^2</f>
        <v/>
      </c>
      <c r="R74" s="3" t="n"/>
      <c r="S74" s="3" t="n"/>
      <c r="T74" s="3" t="n"/>
      <c r="U74" s="3" t="n"/>
      <c r="AA74">
        <f>E74 *1.88541666666666</f>
        <v/>
      </c>
      <c r="AB74" s="3">
        <f> 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Golbat</t>
        </is>
      </c>
      <c r="B75" s="3" t="inlineStr">
        <is>
          <t>uncommon</t>
        </is>
      </c>
      <c r="C75" s="3" t="n">
        <v>33</v>
      </c>
      <c r="D75" s="3" t="n">
        <v>0.07000000000000001</v>
      </c>
      <c r="E75" s="3" t="n">
        <v>0.16</v>
      </c>
      <c r="F75" s="3">
        <f>IF(B75:B283="common", 4, IF(B75:B283="uncommon", 3, IF(B75:B283="rare", 0.792892156862745,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O75">
        <f>IF(C75="", 0, 1 / C75)</f>
        <v/>
      </c>
      <c r="P75">
        <f>F75 *O75</f>
        <v/>
      </c>
      <c r="Q75">
        <f> O75 *(D75 - P75)^2</f>
        <v/>
      </c>
      <c r="R75" s="3" t="n"/>
      <c r="S75" s="3" t="n"/>
      <c r="T75" s="3" t="n"/>
      <c r="U75" s="3" t="n"/>
      <c r="AA75">
        <f>E75 *1.88541666666666</f>
        <v/>
      </c>
      <c r="AB75" s="3">
        <f> 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Goldeen</t>
        </is>
      </c>
      <c r="B76" s="3" t="inlineStr">
        <is>
          <t>common</t>
        </is>
      </c>
      <c r="C76" s="3" t="n">
        <v>46</v>
      </c>
      <c r="D76" s="3" t="n">
        <v>0.03</v>
      </c>
      <c r="E76" s="3" t="n">
        <v>0.14</v>
      </c>
      <c r="F76" s="3">
        <f>IF(B76:B284="common", 4, IF(B76:B284="uncommon", 3, IF(B76:B284="rare", 0.792892156862745,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O76">
        <f>IF(C76="", 0, 1 / C76)</f>
        <v/>
      </c>
      <c r="P76">
        <f>F76 *O76</f>
        <v/>
      </c>
      <c r="Q76">
        <f> O76 *(D76 - P76)^2</f>
        <v/>
      </c>
      <c r="R76" s="3" t="n"/>
      <c r="S76" s="3" t="n"/>
      <c r="T76" s="3" t="n"/>
      <c r="U76" s="3" t="n"/>
      <c r="AA76">
        <f>E76 *1.88541666666666</f>
        <v/>
      </c>
      <c r="AB76" s="3">
        <f> 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Golduck</t>
        </is>
      </c>
      <c r="B77" s="3" t="inlineStr">
        <is>
          <t>uncommon</t>
        </is>
      </c>
      <c r="C77" s="3" t="n">
        <v>33</v>
      </c>
      <c r="D77" s="3" t="n">
        <v>0.07000000000000001</v>
      </c>
      <c r="E77" s="3" t="n">
        <v>0.16</v>
      </c>
      <c r="F77" s="3">
        <f>IF(B77:B285="common", 4, IF(B77:B285="uncommon", 3, IF(B77:B285="rare", 0.792892156862745,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O77">
        <f>IF(C77="", 0, 1 / C77)</f>
        <v/>
      </c>
      <c r="P77">
        <f>F77 *O77</f>
        <v/>
      </c>
      <c r="Q77">
        <f> O77 *(D77 - P77)^2</f>
        <v/>
      </c>
      <c r="R77" s="3" t="n"/>
      <c r="S77" s="3" t="n"/>
      <c r="T77" s="3" t="n"/>
      <c r="U77" s="3" t="n"/>
      <c r="AA77">
        <f>E77 *1.88541666666666</f>
        <v/>
      </c>
      <c r="AB77" s="3">
        <f> 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Golem ex - 076/165</t>
        </is>
      </c>
      <c r="B78" s="3" t="inlineStr">
        <is>
          <t>double rare</t>
        </is>
      </c>
      <c r="C78" s="3" t="n">
        <v>90</v>
      </c>
      <c r="D78" s="3" t="n">
        <v>0.83</v>
      </c>
      <c r="E78" s="3" t="inlineStr"/>
      <c r="F78" s="3">
        <f>IF(B78:B286="common", 4, IF(B78:B286="uncommon", 3, IF(B78:B286="rare", 0.792892156862745,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O78">
        <f>IF(C78="", 0, 1 / C78)</f>
        <v/>
      </c>
      <c r="P78">
        <f>F78 *O78</f>
        <v/>
      </c>
      <c r="Q78">
        <f> O78 *(D78 - P78)^2</f>
        <v/>
      </c>
      <c r="R78" s="3" t="n"/>
      <c r="S78" s="3" t="n"/>
      <c r="T78" s="3" t="n"/>
      <c r="U78" s="3" t="n"/>
      <c r="AA78">
        <f>E78 *1.88541666666666</f>
        <v/>
      </c>
      <c r="AB78" s="3">
        <f> 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Golem ex - 189/165</t>
        </is>
      </c>
      <c r="B79" s="3" t="inlineStr">
        <is>
          <t>ultra rare</t>
        </is>
      </c>
      <c r="C79" s="3" t="n">
        <v>248</v>
      </c>
      <c r="D79" s="3" t="n">
        <v>5.51</v>
      </c>
      <c r="E79" s="3" t="inlineStr"/>
      <c r="F79" s="3">
        <f>IF(B79:B287="common", 4, IF(B79:B287="uncommon", 3, IF(B79:B287="rare", 0.792892156862745,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O79">
        <f>IF(C79="", 0, 1 / C79)</f>
        <v/>
      </c>
      <c r="P79">
        <f>F79 *O79</f>
        <v/>
      </c>
      <c r="Q79">
        <f> O79 *(D79 - P79)^2</f>
        <v/>
      </c>
      <c r="R79" s="3" t="n"/>
      <c r="S79" s="3" t="n"/>
      <c r="T79" s="3" t="n"/>
      <c r="U79" s="3" t="n"/>
      <c r="AA79">
        <f>E79 *1.88541666666666</f>
        <v/>
      </c>
      <c r="AB79" s="3">
        <f> 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Grabber</t>
        </is>
      </c>
      <c r="B80" s="3" t="inlineStr">
        <is>
          <t>uncommon</t>
        </is>
      </c>
      <c r="C80" s="3" t="n">
        <v>33</v>
      </c>
      <c r="D80" s="3" t="n">
        <v>0.16</v>
      </c>
      <c r="E80" s="3" t="n">
        <v>0.6899999999999999</v>
      </c>
      <c r="F80" s="3">
        <f>IF(B80:B288="common", 4, IF(B80:B288="uncommon", 3, IF(B80:B288="rare", 0.792892156862745,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O80">
        <f>IF(C80="", 0, 1 / C80)</f>
        <v/>
      </c>
      <c r="P80">
        <f>F80 *O80</f>
        <v/>
      </c>
      <c r="Q80">
        <f> O80 *(D80 - P80)^2</f>
        <v/>
      </c>
      <c r="R80" s="3" t="n"/>
      <c r="S80" s="3" t="n"/>
      <c r="T80" s="3" t="n"/>
      <c r="U80" s="3" t="n"/>
      <c r="AA80">
        <f>E80 *1.88541666666666</f>
        <v/>
      </c>
      <c r="AB80" s="3">
        <f> 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Graveler</t>
        </is>
      </c>
      <c r="B81" s="3" t="inlineStr">
        <is>
          <t>uncommon</t>
        </is>
      </c>
      <c r="C81" s="3" t="n">
        <v>33</v>
      </c>
      <c r="D81" s="3" t="n">
        <v>0.07000000000000001</v>
      </c>
      <c r="E81" s="3" t="n">
        <v>0.15</v>
      </c>
      <c r="F81" s="3">
        <f>IF(B81:B289="common", 4, IF(B81:B289="uncommon", 3, IF(B81:B289="rare", 0.792892156862745,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O81">
        <f>IF(C81="", 0, 1 / C81)</f>
        <v/>
      </c>
      <c r="P81">
        <f>F81 *O81</f>
        <v/>
      </c>
      <c r="Q81">
        <f> O81 *(D81 - P81)^2</f>
        <v/>
      </c>
      <c r="R81" s="3" t="n"/>
      <c r="S81" s="3" t="n"/>
      <c r="T81" s="3" t="n"/>
      <c r="U81" s="3" t="n"/>
      <c r="AA81">
        <f>E81 *1.88541666666666</f>
        <v/>
      </c>
      <c r="AB81" s="3">
        <f> 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Grimer</t>
        </is>
      </c>
      <c r="B82" s="3" t="inlineStr">
        <is>
          <t>common</t>
        </is>
      </c>
      <c r="C82" s="3" t="n">
        <v>46</v>
      </c>
      <c r="D82" s="3" t="n">
        <v>0.05</v>
      </c>
      <c r="E82" s="3" t="n">
        <v>0.14</v>
      </c>
      <c r="F82" s="3">
        <f>IF(B82:B290="common", 4, IF(B82:B290="uncommon", 3, IF(B82:B290="rare", 0.792892156862745,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O82">
        <f>IF(C82="", 0, 1 / C82)</f>
        <v/>
      </c>
      <c r="P82">
        <f>F82 *O82</f>
        <v/>
      </c>
      <c r="Q82">
        <f> O82 *(D82 - P82)^2</f>
        <v/>
      </c>
      <c r="R82" s="3" t="n"/>
      <c r="S82" s="3" t="n"/>
      <c r="T82" s="3" t="n"/>
      <c r="U82" s="3" t="n"/>
      <c r="AA82">
        <f>E82 *1.88541666666666</f>
        <v/>
      </c>
      <c r="AB82" s="3">
        <f> 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Growlithe</t>
        </is>
      </c>
      <c r="B83" s="3" t="inlineStr">
        <is>
          <t>common</t>
        </is>
      </c>
      <c r="C83" s="3" t="n">
        <v>46</v>
      </c>
      <c r="D83" s="3" t="n">
        <v>0.05</v>
      </c>
      <c r="E83" s="3" t="n">
        <v>0.14</v>
      </c>
      <c r="F83" s="3">
        <f>IF(B83:B291="common", 4, IF(B83:B291="uncommon", 3, IF(B83:B291="rare", 0.792892156862745,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O83">
        <f>IF(C83="", 0, 1 / C83)</f>
        <v/>
      </c>
      <c r="P83">
        <f>F83 *O83</f>
        <v/>
      </c>
      <c r="Q83">
        <f> O83 *(D83 - P83)^2</f>
        <v/>
      </c>
      <c r="R83" s="3" t="n"/>
      <c r="S83" s="3" t="n"/>
      <c r="T83" s="3" t="n"/>
      <c r="U83" s="3" t="n"/>
      <c r="AA83">
        <f>E83 *1.88541666666666</f>
        <v/>
      </c>
      <c r="AB83" s="3">
        <f> 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Gyarados</t>
        </is>
      </c>
      <c r="B84" s="3" t="inlineStr">
        <is>
          <t>rare</t>
        </is>
      </c>
      <c r="C84" s="3" t="n">
        <v>21</v>
      </c>
      <c r="D84" s="3" t="n">
        <v>0.16</v>
      </c>
      <c r="E84" s="3" t="n">
        <v>0.75</v>
      </c>
      <c r="F84" s="3">
        <f>IF(B84:B292="common", 4, IF(B84:B292="uncommon", 3, IF(B84:B292="rare", 0.792892156862745,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O84">
        <f>IF(C84="", 0, 1 / C84)</f>
        <v/>
      </c>
      <c r="P84">
        <f>F84 *O84</f>
        <v/>
      </c>
      <c r="Q84">
        <f> O84 *(D84 - P84)^2</f>
        <v/>
      </c>
      <c r="R84" s="3" t="n"/>
      <c r="S84" s="3" t="n"/>
      <c r="T84" s="3" t="n"/>
      <c r="U84" s="3" t="n"/>
      <c r="AA84">
        <f>E84 *1.88541666666666</f>
        <v/>
      </c>
      <c r="AB84" s="3">
        <f> 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Haunter</t>
        </is>
      </c>
      <c r="B85" s="3" t="inlineStr">
        <is>
          <t>uncommon</t>
        </is>
      </c>
      <c r="C85" s="3" t="n">
        <v>33</v>
      </c>
      <c r="D85" s="3" t="n">
        <v>0.11</v>
      </c>
      <c r="E85" s="3" t="n">
        <v>0.25</v>
      </c>
      <c r="F85" s="3">
        <f>IF(B85:B293="common", 4, IF(B85:B293="uncommon", 3, IF(B85:B293="rare", 0.792892156862745,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O85">
        <f>IF(C85="", 0, 1 / C85)</f>
        <v/>
      </c>
      <c r="P85">
        <f>F85 *O85</f>
        <v/>
      </c>
      <c r="Q85">
        <f> O85 *(D85 - P85)^2</f>
        <v/>
      </c>
      <c r="R85" s="3" t="n"/>
      <c r="S85" s="3" t="n"/>
      <c r="T85" s="3" t="n"/>
      <c r="U85" s="3" t="n"/>
      <c r="AA85">
        <f>E85 *1.88541666666666</f>
        <v/>
      </c>
      <c r="AB85" s="3">
        <f> 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Hitmonchan</t>
        </is>
      </c>
      <c r="B86" s="3" t="inlineStr">
        <is>
          <t>uncommon</t>
        </is>
      </c>
      <c r="C86" s="3" t="n">
        <v>33</v>
      </c>
      <c r="D86" s="3" t="n">
        <v>0.09</v>
      </c>
      <c r="E86" s="3" t="n">
        <v>1.04</v>
      </c>
      <c r="F86" s="3">
        <f>IF(B86:B294="common", 4, IF(B86:B294="uncommon", 3, IF(B86:B294="rare", 0.792892156862745,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O86">
        <f>IF(C86="", 0, 1 / C86)</f>
        <v/>
      </c>
      <c r="P86">
        <f>F86 *O86</f>
        <v/>
      </c>
      <c r="Q86">
        <f> O86 *(D86 - P86)^2</f>
        <v/>
      </c>
      <c r="R86" s="3" t="n"/>
      <c r="S86" s="3" t="n"/>
      <c r="T86" s="3" t="n"/>
      <c r="U86" s="3" t="n"/>
      <c r="AA86">
        <f>E86 *1.88541666666666</f>
        <v/>
      </c>
      <c r="AB86" s="3">
        <f> 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Hitmonlee</t>
        </is>
      </c>
      <c r="B87" s="3" t="inlineStr">
        <is>
          <t>uncommon</t>
        </is>
      </c>
      <c r="C87" s="3" t="n">
        <v>33</v>
      </c>
      <c r="D87" s="3" t="n">
        <v>0.1</v>
      </c>
      <c r="E87" s="3" t="n">
        <v>0.84</v>
      </c>
      <c r="F87" s="3">
        <f>IF(B87:B295="common", 4, IF(B87:B295="uncommon", 3, IF(B87:B295="rare", 0.792892156862745,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O87">
        <f>IF(C87="", 0, 1 / C87)</f>
        <v/>
      </c>
      <c r="P87">
        <f>F87 *O87</f>
        <v/>
      </c>
      <c r="Q87">
        <f> O87 *(D87 - P87)^2</f>
        <v/>
      </c>
      <c r="R87" s="3" t="n"/>
      <c r="S87" s="3" t="n"/>
      <c r="T87" s="3" t="n"/>
      <c r="U87" s="3" t="n"/>
      <c r="AA87">
        <f>E87 *1.88541666666666</f>
        <v/>
      </c>
      <c r="AB87" s="3">
        <f> 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Horsea</t>
        </is>
      </c>
      <c r="B88" s="3" t="inlineStr">
        <is>
          <t>common</t>
        </is>
      </c>
      <c r="C88" s="3" t="n">
        <v>46</v>
      </c>
      <c r="D88" s="3" t="n">
        <v>0.05</v>
      </c>
      <c r="E88" s="3" t="n">
        <v>0.16</v>
      </c>
      <c r="F88" s="3">
        <f>IF(B88:B296="common", 4, IF(B88:B296="uncommon", 3, IF(B88:B296="rare", 0.792892156862745,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O88">
        <f>IF(C88="", 0, 1 / C88)</f>
        <v/>
      </c>
      <c r="P88">
        <f>F88 *O88</f>
        <v/>
      </c>
      <c r="Q88">
        <f> O88 *(D88 - P88)^2</f>
        <v/>
      </c>
      <c r="R88" s="3" t="n"/>
      <c r="S88" s="3" t="n"/>
      <c r="T88" s="3" t="n"/>
      <c r="U88" s="3" t="n"/>
      <c r="AA88">
        <f>E88 *1.88541666666666</f>
        <v/>
      </c>
      <c r="AB88" s="3">
        <f> 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Hypno</t>
        </is>
      </c>
      <c r="B89" s="3" t="inlineStr">
        <is>
          <t>uncommon</t>
        </is>
      </c>
      <c r="C89" s="3" t="n">
        <v>33</v>
      </c>
      <c r="D89" s="3" t="n">
        <v>0.06</v>
      </c>
      <c r="E89" s="3" t="n">
        <v>0.7</v>
      </c>
      <c r="F89" s="3">
        <f>IF(B89:B297="common", 4, IF(B89:B297="uncommon", 3, IF(B89:B297="rare", 0.792892156862745,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O89">
        <f>IF(C89="", 0, 1 / C89)</f>
        <v/>
      </c>
      <c r="P89">
        <f>F89 *O89</f>
        <v/>
      </c>
      <c r="Q89">
        <f> O89 *(D89 - P89)^2</f>
        <v/>
      </c>
      <c r="R89" s="3" t="n"/>
      <c r="S89" s="3" t="n"/>
      <c r="T89" s="3" t="n"/>
      <c r="U89" s="3" t="n"/>
      <c r="AA89">
        <f>E89 *1.88541666666666</f>
        <v/>
      </c>
      <c r="AB89" s="3">
        <f> 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Ivysaur - 002/165</t>
        </is>
      </c>
      <c r="B90" s="3" t="inlineStr">
        <is>
          <t>uncommon</t>
        </is>
      </c>
      <c r="C90" s="3" t="n">
        <v>33</v>
      </c>
      <c r="D90" s="3" t="n">
        <v>0.11</v>
      </c>
      <c r="E90" s="3" t="n">
        <v>0.27</v>
      </c>
      <c r="F90" s="3">
        <f>IF(B90:B298="common", 4, IF(B90:B298="uncommon", 3, IF(B90:B298="rare", 0.792892156862745,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O90">
        <f>IF(C90="", 0, 1 / C90)</f>
        <v/>
      </c>
      <c r="P90">
        <f>F90 *O90</f>
        <v/>
      </c>
      <c r="Q90">
        <f> O90 *(D90 - P90)^2</f>
        <v/>
      </c>
      <c r="R90" s="3" t="n"/>
      <c r="S90" s="3" t="n"/>
      <c r="T90" s="3" t="n"/>
      <c r="U90" s="3" t="n"/>
      <c r="AA90">
        <f>E90 *1.88541666666666</f>
        <v/>
      </c>
      <c r="AB90" s="3">
        <f> 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Ivysaur - 167/165</t>
        </is>
      </c>
      <c r="B91" s="3" t="inlineStr">
        <is>
          <t>illustration rare</t>
        </is>
      </c>
      <c r="C91" s="3" t="n">
        <v>188</v>
      </c>
      <c r="D91" s="3" t="n">
        <v>24.96</v>
      </c>
      <c r="E91" s="3" t="inlineStr"/>
      <c r="F91" s="3">
        <f>IF(B91:B299="common", 4, IF(B91:B299="uncommon", 3, IF(B91:B299="rare", 0.792892156862745,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O91">
        <f>IF(C91="", 0, 1 / C91)</f>
        <v/>
      </c>
      <c r="P91">
        <f>F91 *O91</f>
        <v/>
      </c>
      <c r="Q91">
        <f> O91 *(D91 - P91)^2</f>
        <v/>
      </c>
      <c r="R91" s="3" t="n"/>
      <c r="S91" s="3" t="n"/>
      <c r="T91" s="3" t="n"/>
      <c r="U91" s="3" t="n"/>
      <c r="AA91">
        <f>E91 *1.88541666666666</f>
        <v/>
      </c>
      <c r="AB91" s="3">
        <f> 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Jigglypuff</t>
        </is>
      </c>
      <c r="B92" s="3" t="inlineStr">
        <is>
          <t>common</t>
        </is>
      </c>
      <c r="C92" s="3" t="n">
        <v>46</v>
      </c>
      <c r="D92" s="3" t="n">
        <v>0.08</v>
      </c>
      <c r="E92" s="3" t="n">
        <v>0.21</v>
      </c>
      <c r="F92" s="3">
        <f>IF(B92:B300="common", 4, IF(B92:B300="uncommon", 3, IF(B92:B300="rare", 0.792892156862745,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O92">
        <f>IF(C92="", 0, 1 / C92)</f>
        <v/>
      </c>
      <c r="P92">
        <f>F92 *O92</f>
        <v/>
      </c>
      <c r="Q92">
        <f> O92 *(D92 - P92)^2</f>
        <v/>
      </c>
      <c r="R92" s="3" t="n"/>
      <c r="S92" s="3" t="n"/>
      <c r="T92" s="3" t="n"/>
      <c r="U92" s="3" t="n"/>
      <c r="AA92">
        <f>E92 *1.88541666666666</f>
        <v/>
      </c>
      <c r="AB92" s="3">
        <f> 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Jolteon</t>
        </is>
      </c>
      <c r="B93" s="3" t="inlineStr">
        <is>
          <t>rare</t>
        </is>
      </c>
      <c r="C93" s="3" t="n">
        <v>21</v>
      </c>
      <c r="D93" s="3" t="n">
        <v>0.21</v>
      </c>
      <c r="E93" s="3" t="n">
        <v>1.64</v>
      </c>
      <c r="F93" s="3">
        <f>IF(B93:B301="common", 4, IF(B93:B301="uncommon", 3, IF(B93:B301="rare", 0.792892156862745,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O93">
        <f>IF(C93="", 0, 1 / C93)</f>
        <v/>
      </c>
      <c r="P93">
        <f>F93 *O93</f>
        <v/>
      </c>
      <c r="Q93">
        <f> O93 *(D93 - P93)^2</f>
        <v/>
      </c>
      <c r="R93" s="3" t="n"/>
      <c r="S93" s="3" t="n"/>
      <c r="T93" s="3" t="n"/>
      <c r="U93" s="3" t="n"/>
      <c r="AA93">
        <f>E93 *1.88541666666666</f>
        <v/>
      </c>
      <c r="AB93" s="3">
        <f> 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Jynx ex - 124/165</t>
        </is>
      </c>
      <c r="B94" s="3" t="inlineStr">
        <is>
          <t>double rare</t>
        </is>
      </c>
      <c r="C94" s="3" t="n">
        <v>90</v>
      </c>
      <c r="D94" s="3" t="n">
        <v>0.88</v>
      </c>
      <c r="E94" s="3" t="inlineStr"/>
      <c r="F94" s="3">
        <f>IF(B94:B302="common", 4, IF(B94:B302="uncommon", 3, IF(B94:B302="rare", 0.792892156862745,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O94">
        <f>IF(C94="", 0, 1 / C94)</f>
        <v/>
      </c>
      <c r="P94">
        <f>F94 *O94</f>
        <v/>
      </c>
      <c r="Q94">
        <f> O94 *(D94 - P94)^2</f>
        <v/>
      </c>
      <c r="R94" s="3" t="n"/>
      <c r="S94" s="3" t="n"/>
      <c r="T94" s="3" t="n"/>
      <c r="U94" s="3" t="n"/>
      <c r="AA94">
        <f>E94 *1.88541666666666</f>
        <v/>
      </c>
      <c r="AB94" s="3">
        <f> 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Jynx ex - 191/165</t>
        </is>
      </c>
      <c r="B95" s="3" t="inlineStr">
        <is>
          <t>ultra rare</t>
        </is>
      </c>
      <c r="C95" s="3" t="n">
        <v>248</v>
      </c>
      <c r="D95" s="3" t="n">
        <v>4.31</v>
      </c>
      <c r="E95" s="3" t="inlineStr"/>
      <c r="F95" s="3">
        <f>IF(B95:B303="common", 4, IF(B95:B303="uncommon", 3, IF(B95:B303="rare", 0.792892156862745,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O95">
        <f>IF(C95="", 0, 1 / C95)</f>
        <v/>
      </c>
      <c r="P95">
        <f>F95 *O95</f>
        <v/>
      </c>
      <c r="Q95">
        <f> O95 *(D95 - P95)^2</f>
        <v/>
      </c>
      <c r="R95" s="3" t="n"/>
      <c r="S95" s="3" t="n"/>
      <c r="T95" s="3" t="n"/>
      <c r="U95" s="3" t="n"/>
      <c r="AA95">
        <f>E95 *1.88541666666666</f>
        <v/>
      </c>
      <c r="AB95" s="3">
        <f> 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Kabuto</t>
        </is>
      </c>
      <c r="B96" s="3" t="inlineStr">
        <is>
          <t>uncommon</t>
        </is>
      </c>
      <c r="C96" s="3" t="n">
        <v>33</v>
      </c>
      <c r="D96" s="3" t="n">
        <v>0.08</v>
      </c>
      <c r="E96" s="3" t="n">
        <v>0.9399999999999999</v>
      </c>
      <c r="F96" s="3">
        <f>IF(B96:B304="common", 4, IF(B96:B304="uncommon", 3, IF(B96:B304="rare", 0.792892156862745,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O96">
        <f>IF(C96="", 0, 1 / C96)</f>
        <v/>
      </c>
      <c r="P96">
        <f>F96 *O96</f>
        <v/>
      </c>
      <c r="Q96">
        <f> O96 *(D96 - P96)^2</f>
        <v/>
      </c>
      <c r="R96" s="3" t="n"/>
      <c r="S96" s="3" t="n"/>
      <c r="T96" s="3" t="n"/>
      <c r="U96" s="3" t="n"/>
      <c r="AA96">
        <f>E96 *1.88541666666666</f>
        <v/>
      </c>
      <c r="AB96" s="3">
        <f> 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Kabutops</t>
        </is>
      </c>
      <c r="B97" s="3" t="inlineStr">
        <is>
          <t>rare</t>
        </is>
      </c>
      <c r="C97" s="3" t="n">
        <v>21</v>
      </c>
      <c r="D97" s="3" t="n">
        <v>0.15</v>
      </c>
      <c r="E97" s="3" t="n">
        <v>0.62</v>
      </c>
      <c r="F97" s="3">
        <f>IF(B97:B305="common", 4, IF(B97:B305="uncommon", 3, IF(B97:B305="rare", 0.792892156862745,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O97">
        <f>IF(C97="", 0, 1 / C97)</f>
        <v/>
      </c>
      <c r="P97">
        <f>F97 *O97</f>
        <v/>
      </c>
      <c r="Q97">
        <f> O97 *(D97 - P97)^2</f>
        <v/>
      </c>
      <c r="R97" s="3" t="n"/>
      <c r="S97" s="3" t="n"/>
      <c r="T97" s="3" t="n"/>
      <c r="U97" s="3" t="n"/>
      <c r="AA97">
        <f>E97 *1.88541666666666</f>
        <v/>
      </c>
      <c r="AB97" s="3">
        <f> 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Kadabra</t>
        </is>
      </c>
      <c r="B98" s="3" t="inlineStr">
        <is>
          <t>uncommon</t>
        </is>
      </c>
      <c r="C98" s="3" t="n">
        <v>33</v>
      </c>
      <c r="D98" s="3" t="n">
        <v>0.08</v>
      </c>
      <c r="E98" s="3" t="n">
        <v>0.17</v>
      </c>
      <c r="F98" s="3">
        <f>IF(B98:B306="common", 4, IF(B98:B306="uncommon", 3, IF(B98:B306="rare", 0.792892156862745,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O98">
        <f>IF(C98="", 0, 1 / C98)</f>
        <v/>
      </c>
      <c r="P98">
        <f>F98 *O98</f>
        <v/>
      </c>
      <c r="Q98">
        <f> O98 *(D98 - P98)^2</f>
        <v/>
      </c>
      <c r="R98" s="3" t="n"/>
      <c r="S98" s="3" t="n"/>
      <c r="T98" s="3" t="n"/>
      <c r="U98" s="3" t="n"/>
      <c r="AA98">
        <f>E98 *1.88541666666666</f>
        <v/>
      </c>
      <c r="AB98" s="3">
        <f> 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Kakuna</t>
        </is>
      </c>
      <c r="B99" s="3" t="inlineStr">
        <is>
          <t>common</t>
        </is>
      </c>
      <c r="C99" s="3" t="n">
        <v>46</v>
      </c>
      <c r="D99" s="3" t="n">
        <v>0.11</v>
      </c>
      <c r="E99" s="3" t="n">
        <v>1.38</v>
      </c>
      <c r="F99" s="3">
        <f>IF(B99:B307="common", 4, IF(B99:B307="uncommon", 3, IF(B99:B307="rare", 0.792892156862745,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O99">
        <f>IF(C99="", 0, 1 / C99)</f>
        <v/>
      </c>
      <c r="P99">
        <f>F99 *O99</f>
        <v/>
      </c>
      <c r="Q99">
        <f> O99 *(D99 - P99)^2</f>
        <v/>
      </c>
      <c r="R99" s="3" t="n"/>
      <c r="S99" s="3" t="n"/>
      <c r="T99" s="3" t="n"/>
      <c r="U99" s="3" t="n"/>
      <c r="AA99">
        <f>E99 *1.88541666666666</f>
        <v/>
      </c>
      <c r="AB99" s="3">
        <f> 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Kangaskhan ex - 115/165</t>
        </is>
      </c>
      <c r="B100" s="3" t="inlineStr">
        <is>
          <t>double rare</t>
        </is>
      </c>
      <c r="C100" s="3" t="n">
        <v>90</v>
      </c>
      <c r="D100" s="3" t="n">
        <v>0.8</v>
      </c>
      <c r="E100" s="3" t="inlineStr"/>
      <c r="F100" s="3">
        <f>IF(B100:B308="common", 4, IF(B100:B308="uncommon", 3, IF(B100:B308="rare", 0.792892156862745,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O100">
        <f>IF(C100="", 0, 1 / C100)</f>
        <v/>
      </c>
      <c r="P100">
        <f>F100 *O100</f>
        <v/>
      </c>
      <c r="Q100">
        <f> O100 *(D100 - P100)^2</f>
        <v/>
      </c>
      <c r="R100" s="3" t="n"/>
      <c r="S100" s="3" t="n"/>
      <c r="T100" s="3" t="n"/>
      <c r="U100" s="3" t="n"/>
      <c r="AA100">
        <f>E100 *1.88541666666666</f>
        <v/>
      </c>
      <c r="AB100" s="3">
        <f> 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Kangaskhan ex - 190/165</t>
        </is>
      </c>
      <c r="B101" s="3" t="inlineStr">
        <is>
          <t>ultra rare</t>
        </is>
      </c>
      <c r="C101" s="3" t="n">
        <v>248</v>
      </c>
      <c r="D101" s="3" t="n">
        <v>5.47</v>
      </c>
      <c r="E101" s="3" t="inlineStr"/>
      <c r="F101" s="3">
        <f>IF(B101:B309="common", 4, IF(B101:B309="uncommon", 3, IF(B101:B309="rare", 0.792892156862745,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O101">
        <f>IF(C101="", 0, 1 / C101)</f>
        <v/>
      </c>
      <c r="P101">
        <f>F101 *O101</f>
        <v/>
      </c>
      <c r="Q101">
        <f> O101 *(D101 - P101)^2</f>
        <v/>
      </c>
      <c r="R101" s="3" t="n"/>
      <c r="S101" s="3" t="n"/>
      <c r="T101" s="3" t="n"/>
      <c r="U101" s="3" t="n"/>
      <c r="AA101">
        <f>E101 *1.88541666666666</f>
        <v/>
      </c>
      <c r="AB101" s="3">
        <f> 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Kingler</t>
        </is>
      </c>
      <c r="B102" s="3" t="inlineStr">
        <is>
          <t>uncommon</t>
        </is>
      </c>
      <c r="C102" s="3" t="n">
        <v>33</v>
      </c>
      <c r="D102" s="3" t="n">
        <v>0.08</v>
      </c>
      <c r="E102" s="3" t="n">
        <v>0.87</v>
      </c>
      <c r="F102" s="3">
        <f>IF(B102:B310="common", 4, IF(B102:B310="uncommon", 3, IF(B102:B310="rare", 0.792892156862745,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O102">
        <f>IF(C102="", 0, 1 / C102)</f>
        <v/>
      </c>
      <c r="P102">
        <f>F102 *O102</f>
        <v/>
      </c>
      <c r="Q102">
        <f> O102 *(D102 - P102)^2</f>
        <v/>
      </c>
      <c r="R102" s="3" t="n"/>
      <c r="S102" s="3" t="n"/>
      <c r="T102" s="3" t="n"/>
      <c r="U102" s="3" t="n"/>
      <c r="AA102">
        <f>E102 *1.88541666666666</f>
        <v/>
      </c>
      <c r="AB102" s="3">
        <f> 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Koffing</t>
        </is>
      </c>
      <c r="B103" s="3" t="inlineStr">
        <is>
          <t>common</t>
        </is>
      </c>
      <c r="C103" s="3" t="n">
        <v>46</v>
      </c>
      <c r="D103" s="3" t="n">
        <v>0.07000000000000001</v>
      </c>
      <c r="E103" s="3" t="n">
        <v>0.15</v>
      </c>
      <c r="F103" s="3">
        <f>IF(B103:B311="common", 4, IF(B103:B311="uncommon", 3, IF(B103:B311="rare", 0.792892156862745,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O103">
        <f>IF(C103="", 0, 1 / C103)</f>
        <v/>
      </c>
      <c r="P103">
        <f>F103 *O103</f>
        <v/>
      </c>
      <c r="Q103">
        <f> O103 *(D103 - P103)^2</f>
        <v/>
      </c>
      <c r="R103" s="3" t="n"/>
      <c r="S103" s="3" t="n"/>
      <c r="T103" s="3" t="n"/>
      <c r="U103" s="3" t="n"/>
      <c r="AA103">
        <f>E103 *1.88541666666666</f>
        <v/>
      </c>
      <c r="AB103" s="3">
        <f> 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Krabby</t>
        </is>
      </c>
      <c r="B104" s="3" t="inlineStr">
        <is>
          <t>common</t>
        </is>
      </c>
      <c r="C104" s="3" t="n">
        <v>46</v>
      </c>
      <c r="D104" s="3" t="n">
        <v>0.08</v>
      </c>
      <c r="E104" s="3" t="n">
        <v>0.15</v>
      </c>
      <c r="F104" s="3">
        <f>IF(B104:B312="common", 4, IF(B104:B312="uncommon", 3, IF(B104:B312="rare", 0.792892156862745,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O104">
        <f>IF(C104="", 0, 1 / C104)</f>
        <v/>
      </c>
      <c r="P104">
        <f>F104 *O104</f>
        <v/>
      </c>
      <c r="Q104">
        <f> O104 *(D104 - P104)^2</f>
        <v/>
      </c>
      <c r="R104" s="3" t="n"/>
      <c r="S104" s="3" t="n"/>
      <c r="T104" s="3" t="n"/>
      <c r="U104" s="3" t="n"/>
      <c r="AA104">
        <f>E104 *1.88541666666666</f>
        <v/>
      </c>
      <c r="AB104" s="3">
        <f> 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Lapras</t>
        </is>
      </c>
      <c r="B105" s="3" t="inlineStr">
        <is>
          <t>uncommon</t>
        </is>
      </c>
      <c r="C105" s="3" t="n">
        <v>33</v>
      </c>
      <c r="D105" s="3" t="n">
        <v>0.1</v>
      </c>
      <c r="E105" s="3" t="n">
        <v>0.89</v>
      </c>
      <c r="F105" s="3">
        <f>IF(B105:B313="common", 4, IF(B105:B313="uncommon", 3, IF(B105:B313="rare", 0.792892156862745,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O105">
        <f>IF(C105="", 0, 1 / C105)</f>
        <v/>
      </c>
      <c r="P105">
        <f>F105 *O105</f>
        <v/>
      </c>
      <c r="Q105">
        <f> O105 *(D105 - P105)^2</f>
        <v/>
      </c>
      <c r="R105" s="3" t="n"/>
      <c r="S105" s="3" t="n"/>
      <c r="T105" s="3" t="n"/>
      <c r="U105" s="3" t="n"/>
      <c r="AA105">
        <f>E105 *1.88541666666666</f>
        <v/>
      </c>
      <c r="AB105" s="3">
        <f> 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Leftovers</t>
        </is>
      </c>
      <c r="B106" s="3" t="inlineStr">
        <is>
          <t>uncommon</t>
        </is>
      </c>
      <c r="C106" s="3" t="n">
        <v>33</v>
      </c>
      <c r="D106" s="3" t="n">
        <v>0.11</v>
      </c>
      <c r="E106" s="3" t="n">
        <v>0.5</v>
      </c>
      <c r="F106" s="3">
        <f>IF(B106:B314="common", 4, IF(B106:B314="uncommon", 3, IF(B106:B314="rare", 0.792892156862745,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O106">
        <f>IF(C106="", 0, 1 / C106)</f>
        <v/>
      </c>
      <c r="P106">
        <f>F106 *O106</f>
        <v/>
      </c>
      <c r="Q106">
        <f> O106 *(D106 - P106)^2</f>
        <v/>
      </c>
      <c r="R106" s="3" t="n"/>
      <c r="S106" s="3" t="n"/>
      <c r="T106" s="3" t="n"/>
      <c r="U106" s="3" t="n"/>
      <c r="AA106">
        <f>E106 *1.88541666666666</f>
        <v/>
      </c>
      <c r="AB106" s="3">
        <f> 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Lickitung</t>
        </is>
      </c>
      <c r="B107" s="3" t="inlineStr">
        <is>
          <t>common</t>
        </is>
      </c>
      <c r="C107" s="3" t="n">
        <v>46</v>
      </c>
      <c r="D107" s="3" t="n">
        <v>0.07000000000000001</v>
      </c>
      <c r="E107" s="3" t="n">
        <v>0.14</v>
      </c>
      <c r="F107" s="3">
        <f>IF(B107:B315="common", 4, IF(B107:B315="uncommon", 3, IF(B107:B315="rare", 0.792892156862745,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O107">
        <f>IF(C107="", 0, 1 / C107)</f>
        <v/>
      </c>
      <c r="P107">
        <f>F107 *O107</f>
        <v/>
      </c>
      <c r="Q107">
        <f> O107 *(D107 - P107)^2</f>
        <v/>
      </c>
      <c r="R107" s="3" t="n"/>
      <c r="S107" s="3" t="n"/>
      <c r="T107" s="3" t="n"/>
      <c r="U107" s="3" t="n"/>
      <c r="AA107">
        <f>E107 *1.88541666666666</f>
        <v/>
      </c>
      <c r="AB107" s="3">
        <f> 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Machamp</t>
        </is>
      </c>
      <c r="B108" s="3" t="inlineStr">
        <is>
          <t>rare</t>
        </is>
      </c>
      <c r="C108" s="3" t="n">
        <v>21</v>
      </c>
      <c r="D108" s="3" t="n">
        <v>0.17</v>
      </c>
      <c r="E108" s="3" t="n">
        <v>0.59</v>
      </c>
      <c r="F108" s="3">
        <f>IF(B108:B316="common", 4, IF(B108:B316="uncommon", 3, IF(B108:B316="rare", 0.792892156862745,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O108">
        <f>IF(C108="", 0, 1 / C108)</f>
        <v/>
      </c>
      <c r="P108">
        <f>F108 *O108</f>
        <v/>
      </c>
      <c r="Q108">
        <f> O108 *(D108 - P108)^2</f>
        <v/>
      </c>
      <c r="R108" s="3" t="n"/>
      <c r="S108" s="3" t="n"/>
      <c r="T108" s="3" t="n"/>
      <c r="U108" s="3" t="n"/>
      <c r="AA108">
        <f>E108 *1.88541666666666</f>
        <v/>
      </c>
      <c r="AB108" s="3">
        <f> 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Machoke - 067/165</t>
        </is>
      </c>
      <c r="B109" s="3" t="inlineStr">
        <is>
          <t>uncommon</t>
        </is>
      </c>
      <c r="C109" s="3" t="n">
        <v>33</v>
      </c>
      <c r="D109" s="3" t="n">
        <v>0.06</v>
      </c>
      <c r="E109" s="3" t="n">
        <v>0.16</v>
      </c>
      <c r="F109" s="3">
        <f>IF(B109:B317="common", 4, IF(B109:B317="uncommon", 3, IF(B109:B317="rare", 0.792892156862745,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O109">
        <f>IF(C109="", 0, 1 / C109)</f>
        <v/>
      </c>
      <c r="P109">
        <f>F109 *O109</f>
        <v/>
      </c>
      <c r="Q109">
        <f> O109 *(D109 - P109)^2</f>
        <v/>
      </c>
      <c r="R109" s="3" t="n"/>
      <c r="S109" s="3" t="n"/>
      <c r="T109" s="3" t="n"/>
      <c r="U109" s="3" t="n"/>
      <c r="AA109">
        <f>E109 *1.88541666666666</f>
        <v/>
      </c>
      <c r="AB109" s="3">
        <f> 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Machoke - 177/165</t>
        </is>
      </c>
      <c r="B110" s="3" t="inlineStr">
        <is>
          <t>illustration rare</t>
        </is>
      </c>
      <c r="C110" s="3" t="n">
        <v>188</v>
      </c>
      <c r="D110" s="3" t="n">
        <v>9.880000000000001</v>
      </c>
      <c r="E110" s="3" t="inlineStr"/>
      <c r="F110" s="3">
        <f>IF(B110:B318="common", 4, IF(B110:B318="uncommon", 3, IF(B110:B318="rare", 0.792892156862745,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O110">
        <f>IF(C110="", 0, 1 / C110)</f>
        <v/>
      </c>
      <c r="P110">
        <f>F110 *O110</f>
        <v/>
      </c>
      <c r="Q110">
        <f> O110 *(D110 - P110)^2</f>
        <v/>
      </c>
      <c r="R110" s="3" t="n"/>
      <c r="S110" s="3" t="n"/>
      <c r="T110" s="3" t="n"/>
      <c r="U110" s="3" t="n"/>
      <c r="AA110">
        <f>E110 *1.88541666666666</f>
        <v/>
      </c>
      <c r="AB110" s="3">
        <f> 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Machop</t>
        </is>
      </c>
      <c r="B111" s="3" t="inlineStr">
        <is>
          <t>common</t>
        </is>
      </c>
      <c r="C111" s="3" t="n">
        <v>46</v>
      </c>
      <c r="D111" s="3" t="n">
        <v>0.05</v>
      </c>
      <c r="E111" s="3" t="n">
        <v>0.15</v>
      </c>
      <c r="F111" s="3">
        <f>IF(B111:B319="common", 4, IF(B111:B319="uncommon", 3, IF(B111:B319="rare", 0.792892156862745,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O111">
        <f>IF(C111="", 0, 1 / C111)</f>
        <v/>
      </c>
      <c r="P111">
        <f>F111 *O111</f>
        <v/>
      </c>
      <c r="Q111">
        <f> O111 *(D111 - P111)^2</f>
        <v/>
      </c>
      <c r="R111" s="3" t="n"/>
      <c r="S111" s="3" t="n"/>
      <c r="T111" s="3" t="n"/>
      <c r="U111" s="3" t="n"/>
      <c r="AA111">
        <f>E111 *1.88541666666666</f>
        <v/>
      </c>
      <c r="AB111" s="3">
        <f> 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Magikarp</t>
        </is>
      </c>
      <c r="B112" s="3" t="inlineStr">
        <is>
          <t>common</t>
        </is>
      </c>
      <c r="C112" s="3" t="n">
        <v>46</v>
      </c>
      <c r="D112" s="3" t="n">
        <v>0.08</v>
      </c>
      <c r="E112" s="3" t="n">
        <v>0.22</v>
      </c>
      <c r="F112" s="3">
        <f>IF(B112:B320="common", 4, IF(B112:B320="uncommon", 3, IF(B112:B320="rare", 0.792892156862745,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O112">
        <f>IF(C112="", 0, 1 / C112)</f>
        <v/>
      </c>
      <c r="P112">
        <f>F112 *O112</f>
        <v/>
      </c>
      <c r="Q112">
        <f> O112 *(D112 - P112)^2</f>
        <v/>
      </c>
      <c r="R112" s="3" t="n"/>
      <c r="S112" s="3" t="n"/>
      <c r="T112" s="3" t="n"/>
      <c r="U112" s="3" t="n"/>
      <c r="AA112">
        <f>E112 *1.88541666666666</f>
        <v/>
      </c>
      <c r="AB112" s="3">
        <f> 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Magmar</t>
        </is>
      </c>
      <c r="B113" s="3" t="inlineStr">
        <is>
          <t>common</t>
        </is>
      </c>
      <c r="C113" s="3" t="n">
        <v>46</v>
      </c>
      <c r="D113" s="3" t="n">
        <v>0.05</v>
      </c>
      <c r="E113" s="3" t="n">
        <v>0.95</v>
      </c>
      <c r="F113" s="3">
        <f>IF(B113:B321="common", 4, IF(B113:B321="uncommon", 3, IF(B113:B321="rare", 0.792892156862745,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O113">
        <f>IF(C113="", 0, 1 / C113)</f>
        <v/>
      </c>
      <c r="P113">
        <f>F113 *O113</f>
        <v/>
      </c>
      <c r="Q113">
        <f> O113 *(D113 - P113)^2</f>
        <v/>
      </c>
      <c r="R113" s="3" t="n"/>
      <c r="S113" s="3" t="n"/>
      <c r="T113" s="3" t="n"/>
      <c r="U113" s="3" t="n"/>
      <c r="AA113">
        <f>E113 *1.88541666666666</f>
        <v/>
      </c>
      <c r="AB113" s="3">
        <f> 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Magnemite</t>
        </is>
      </c>
      <c r="B114" s="3" t="inlineStr">
        <is>
          <t>common</t>
        </is>
      </c>
      <c r="C114" s="3" t="n">
        <v>46</v>
      </c>
      <c r="D114" s="3" t="n">
        <v>0.09</v>
      </c>
      <c r="E114" s="3" t="n">
        <v>0.16</v>
      </c>
      <c r="F114" s="3">
        <f>IF(B114:B322="common", 4, IF(B114:B322="uncommon", 3, IF(B114:B322="rare", 0.792892156862745,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O114">
        <f>IF(C114="", 0, 1 / C114)</f>
        <v/>
      </c>
      <c r="P114">
        <f>F114 *O114</f>
        <v/>
      </c>
      <c r="Q114">
        <f> O114 *(D114 - P114)^2</f>
        <v/>
      </c>
      <c r="R114" s="3" t="n"/>
      <c r="S114" s="3" t="n"/>
      <c r="T114" s="3" t="n"/>
      <c r="U114" s="3" t="n"/>
      <c r="AA114">
        <f>E114 *1.88541666666666</f>
        <v/>
      </c>
      <c r="AB114" s="3">
        <f> 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Magneton</t>
        </is>
      </c>
      <c r="B115" s="3" t="inlineStr">
        <is>
          <t>uncommon</t>
        </is>
      </c>
      <c r="C115" s="3" t="n">
        <v>33</v>
      </c>
      <c r="D115" s="3" t="n">
        <v>0.08</v>
      </c>
      <c r="E115" s="3" t="n">
        <v>0.19</v>
      </c>
      <c r="F115" s="3">
        <f>IF(B115:B323="common", 4, IF(B115:B323="uncommon", 3, IF(B115:B323="rare", 0.792892156862745,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O115">
        <f>IF(C115="", 0, 1 / C115)</f>
        <v/>
      </c>
      <c r="P115">
        <f>F115 *O115</f>
        <v/>
      </c>
      <c r="Q115">
        <f> O115 *(D115 - P115)^2</f>
        <v/>
      </c>
      <c r="R115" s="3" t="n"/>
      <c r="S115" s="3" t="n"/>
      <c r="T115" s="3" t="n"/>
      <c r="U115" s="3" t="n"/>
      <c r="AA115">
        <f>E115 *1.88541666666666</f>
        <v/>
      </c>
      <c r="AB115" s="3">
        <f> 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Mankey</t>
        </is>
      </c>
      <c r="B116" s="3" t="inlineStr">
        <is>
          <t>common</t>
        </is>
      </c>
      <c r="C116" s="3" t="n">
        <v>46</v>
      </c>
      <c r="D116" s="3" t="n">
        <v>0.06</v>
      </c>
      <c r="E116" s="3" t="n">
        <v>0.19</v>
      </c>
      <c r="F116" s="3">
        <f>IF(B116:B324="common", 4, IF(B116:B324="uncommon", 3, IF(B116:B324="rare", 0.792892156862745,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O116">
        <f>IF(C116="", 0, 1 / C116)</f>
        <v/>
      </c>
      <c r="P116">
        <f>F116 *O116</f>
        <v/>
      </c>
      <c r="Q116">
        <f> O116 *(D116 - P116)^2</f>
        <v/>
      </c>
      <c r="R116" s="3" t="n"/>
      <c r="S116" s="3" t="n"/>
      <c r="T116" s="3" t="n"/>
      <c r="U116" s="3" t="n"/>
      <c r="AA116">
        <f>E116 *1.88541666666666</f>
        <v/>
      </c>
      <c r="AB116" s="3">
        <f> 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Marowak</t>
        </is>
      </c>
      <c r="B117" s="3" t="inlineStr">
        <is>
          <t>rare</t>
        </is>
      </c>
      <c r="C117" s="3" t="n">
        <v>21</v>
      </c>
      <c r="D117" s="3" t="n">
        <v>0.15</v>
      </c>
      <c r="E117" s="3" t="n">
        <v>0.6</v>
      </c>
      <c r="F117" s="3">
        <f>IF(B117:B325="common", 4, IF(B117:B325="uncommon", 3, IF(B117:B325="rare", 0.792892156862745,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O117">
        <f>IF(C117="", 0, 1 / C117)</f>
        <v/>
      </c>
      <c r="P117">
        <f>F117 *O117</f>
        <v/>
      </c>
      <c r="Q117">
        <f> O117 *(D117 - P117)^2</f>
        <v/>
      </c>
      <c r="R117" s="3" t="n"/>
      <c r="S117" s="3" t="n"/>
      <c r="T117" s="3" t="n"/>
      <c r="U117" s="3" t="n"/>
      <c r="AA117">
        <f>E117 *1.88541666666666</f>
        <v/>
      </c>
      <c r="AB117" s="3">
        <f> 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Meowth</t>
        </is>
      </c>
      <c r="B118" s="3" t="inlineStr">
        <is>
          <t>common</t>
        </is>
      </c>
      <c r="C118" s="3" t="n">
        <v>46</v>
      </c>
      <c r="D118" s="3" t="n">
        <v>0.06</v>
      </c>
      <c r="E118" s="3" t="n">
        <v>0.15</v>
      </c>
      <c r="F118" s="3">
        <f>IF(B118:B326="common", 4, IF(B118:B326="uncommon", 3, IF(B118:B326="rare", 0.792892156862745,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O118">
        <f>IF(C118="", 0, 1 / C118)</f>
        <v/>
      </c>
      <c r="P118">
        <f>F118 *O118</f>
        <v/>
      </c>
      <c r="Q118">
        <f> O118 *(D118 - P118)^2</f>
        <v/>
      </c>
      <c r="R118" s="3" t="n"/>
      <c r="S118" s="3" t="n"/>
      <c r="T118" s="3" t="n"/>
      <c r="U118" s="3" t="n"/>
      <c r="AA118">
        <f>E118 *1.88541666666666</f>
        <v/>
      </c>
      <c r="AB118" s="3">
        <f> 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Metapod</t>
        </is>
      </c>
      <c r="B119" s="3" t="inlineStr">
        <is>
          <t>common</t>
        </is>
      </c>
      <c r="C119" s="3" t="n">
        <v>46</v>
      </c>
      <c r="D119" s="3" t="n">
        <v>0.12</v>
      </c>
      <c r="E119" s="3" t="n">
        <v>1.43</v>
      </c>
      <c r="F119" s="3">
        <f>IF(B119:B327="common", 4, IF(B119:B327="uncommon", 3, IF(B119:B327="rare", 0.792892156862745,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O119">
        <f>IF(C119="", 0, 1 / C119)</f>
        <v/>
      </c>
      <c r="P119">
        <f>F119 *O119</f>
        <v/>
      </c>
      <c r="Q119">
        <f> O119 *(D119 - P119)^2</f>
        <v/>
      </c>
      <c r="R119" s="3" t="n"/>
      <c r="S119" s="3" t="n"/>
      <c r="T119" s="3" t="n"/>
      <c r="U119" s="3" t="n"/>
      <c r="AA119">
        <f>E119 *1.88541666666666</f>
        <v/>
      </c>
      <c r="AB119" s="3">
        <f> 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Mew ex - 151/165</t>
        </is>
      </c>
      <c r="B120" s="3" t="inlineStr">
        <is>
          <t>double rare</t>
        </is>
      </c>
      <c r="C120" s="3" t="n">
        <v>90</v>
      </c>
      <c r="D120" s="3" t="n">
        <v>7.46</v>
      </c>
      <c r="E120" s="3" t="inlineStr"/>
      <c r="F120" s="3">
        <f>IF(B120:B328="common", 4, IF(B120:B328="uncommon", 3, IF(B120:B328="rare", 0.792892156862745,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O120">
        <f>IF(C120="", 0, 1 / C120)</f>
        <v/>
      </c>
      <c r="P120">
        <f>F120 *O120</f>
        <v/>
      </c>
      <c r="Q120">
        <f> O120 *(D120 - P120)^2</f>
        <v/>
      </c>
      <c r="R120" s="3" t="n"/>
      <c r="S120" s="3" t="n"/>
      <c r="T120" s="3" t="n"/>
      <c r="U120" s="3" t="n"/>
      <c r="AA120">
        <f>E120 *1.88541666666666</f>
        <v/>
      </c>
      <c r="AB120" s="3">
        <f> 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Mew ex - 193/165</t>
        </is>
      </c>
      <c r="B121" s="3" t="inlineStr">
        <is>
          <t>ultra rare</t>
        </is>
      </c>
      <c r="C121" s="3" t="n">
        <v>248</v>
      </c>
      <c r="D121" s="3" t="n">
        <v>17.15</v>
      </c>
      <c r="E121" s="3" t="inlineStr"/>
      <c r="F121" s="3">
        <f>IF(B121:B329="common", 4, IF(B121:B329="uncommon", 3, IF(B121:B329="rare", 0.792892156862745,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O121">
        <f>IF(C121="", 0, 1 / C121)</f>
        <v/>
      </c>
      <c r="P121">
        <f>F121 *O121</f>
        <v/>
      </c>
      <c r="Q121">
        <f> O121 *(D121 - P121)^2</f>
        <v/>
      </c>
      <c r="R121" s="3" t="n"/>
      <c r="S121" s="3" t="n"/>
      <c r="T121" s="3" t="n"/>
      <c r="U121" s="3" t="n"/>
      <c r="AA121">
        <f>E121 *1.88541666666666</f>
        <v/>
      </c>
      <c r="AB121" s="3">
        <f> 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Mew ex - 205/165</t>
        </is>
      </c>
      <c r="B122" s="3" t="inlineStr">
        <is>
          <t>hyper rare</t>
        </is>
      </c>
      <c r="C122" s="3" t="n">
        <v>154</v>
      </c>
      <c r="D122" s="3" t="n">
        <v>11.8</v>
      </c>
      <c r="E122" s="3" t="inlineStr"/>
      <c r="F122" s="3">
        <f>IF(B122:B330="common", 4, IF(B122:B330="uncommon", 3, IF(B122:B330="rare", 0.792892156862745,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O122">
        <f>IF(C122="", 0, 1 / C122)</f>
        <v/>
      </c>
      <c r="P122">
        <f>F122 *O122</f>
        <v/>
      </c>
      <c r="Q122">
        <f> O122 *(D122 - P122)^2</f>
        <v/>
      </c>
      <c r="R122" s="3" t="n"/>
      <c r="S122" s="3" t="n"/>
      <c r="T122" s="3" t="n"/>
      <c r="U122" s="3" t="n"/>
      <c r="AA122">
        <f>E122 *1.88541666666666</f>
        <v/>
      </c>
      <c r="AB122" s="3">
        <f> 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Mew ex - 205/165 (151 Metal Card)</t>
        </is>
      </c>
      <c r="B123" s="3" t="inlineStr">
        <is>
          <t>double rare</t>
        </is>
      </c>
      <c r="C123" s="3" t="n">
        <v>90</v>
      </c>
      <c r="D123" s="3" t="n">
        <v>13.35</v>
      </c>
      <c r="E123" s="3" t="inlineStr"/>
      <c r="F123" s="3">
        <f>IF(B123:B331="common", 4, IF(B123:B331="uncommon", 3, IF(B123:B331="rare", 0.792892156862745,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O123">
        <f>IF(C123="", 0, 1 / C123)</f>
        <v/>
      </c>
      <c r="P123">
        <f>F123 *O123</f>
        <v/>
      </c>
      <c r="Q123">
        <f> O123 *(D123 - P123)^2</f>
        <v/>
      </c>
      <c r="R123" s="3" t="n"/>
      <c r="S123" s="3" t="n"/>
      <c r="T123" s="3" t="n"/>
      <c r="U123" s="3" t="n"/>
      <c r="AA123">
        <f>E123 *1.88541666666666</f>
        <v/>
      </c>
      <c r="AB123" s="3">
        <f> 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Mewtwo</t>
        </is>
      </c>
      <c r="B124" s="3" t="inlineStr">
        <is>
          <t>rare</t>
        </is>
      </c>
      <c r="C124" s="3" t="n">
        <v>21</v>
      </c>
      <c r="D124" s="3" t="n">
        <v>0.53</v>
      </c>
      <c r="E124" s="3" t="n">
        <v>1.61</v>
      </c>
      <c r="F124" s="3">
        <f>IF(B124:B332="common", 4, IF(B124:B332="uncommon", 3, IF(B124:B332="rare", 0.792892156862745,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O124">
        <f>IF(C124="", 0, 1 / C124)</f>
        <v/>
      </c>
      <c r="P124">
        <f>F124 *O124</f>
        <v/>
      </c>
      <c r="Q124">
        <f> O124 *(D124 - P124)^2</f>
        <v/>
      </c>
      <c r="R124" s="3" t="n"/>
      <c r="S124" s="3" t="n"/>
      <c r="T124" s="3" t="n"/>
      <c r="U124" s="3" t="n"/>
      <c r="AA124">
        <f>E124 *1.88541666666666</f>
        <v/>
      </c>
      <c r="AB124" s="3">
        <f> 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Moltres</t>
        </is>
      </c>
      <c r="B125" s="3" t="inlineStr">
        <is>
          <t>rare</t>
        </is>
      </c>
      <c r="C125" s="3" t="n">
        <v>21</v>
      </c>
      <c r="D125" s="3" t="n">
        <v>0.2</v>
      </c>
      <c r="E125" s="3" t="n">
        <v>1.04</v>
      </c>
      <c r="F125" s="3">
        <f>IF(B125:B333="common", 4, IF(B125:B333="uncommon", 3, IF(B125:B333="rare", 0.792892156862745,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O125">
        <f>IF(C125="", 0, 1 / C125)</f>
        <v/>
      </c>
      <c r="P125">
        <f>F125 *O125</f>
        <v/>
      </c>
      <c r="Q125">
        <f> O125 *(D125 - P125)^2</f>
        <v/>
      </c>
      <c r="R125" s="3" t="n"/>
      <c r="S125" s="3" t="n"/>
      <c r="T125" s="3" t="n"/>
      <c r="U125" s="3" t="n"/>
      <c r="AA125">
        <f>E125 *1.88541666666666</f>
        <v/>
      </c>
      <c r="AB125" s="3">
        <f> 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Mr. Mime - 122/165</t>
        </is>
      </c>
      <c r="B126" s="3" t="inlineStr">
        <is>
          <t>rare</t>
        </is>
      </c>
      <c r="C126" s="3" t="n">
        <v>21</v>
      </c>
      <c r="D126" s="3" t="n">
        <v>0.15</v>
      </c>
      <c r="E126" s="3" t="n">
        <v>0.57</v>
      </c>
      <c r="F126" s="3">
        <f>IF(B126:B334="common", 4, IF(B126:B334="uncommon", 3, IF(B126:B334="rare", 0.792892156862745,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O126">
        <f>IF(C126="", 0, 1 / C126)</f>
        <v/>
      </c>
      <c r="P126">
        <f>F126 *O126</f>
        <v/>
      </c>
      <c r="Q126">
        <f> O126 *(D126 - P126)^2</f>
        <v/>
      </c>
      <c r="R126" s="3" t="n"/>
      <c r="S126" s="3" t="n"/>
      <c r="T126" s="3" t="n"/>
      <c r="U126" s="3" t="n"/>
      <c r="AA126">
        <f>E126 *1.88541666666666</f>
        <v/>
      </c>
      <c r="AB126" s="3">
        <f> 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Mr. Mime - 179/165</t>
        </is>
      </c>
      <c r="B127" s="3" t="inlineStr">
        <is>
          <t>illustration rare</t>
        </is>
      </c>
      <c r="C127" s="3" t="n">
        <v>188</v>
      </c>
      <c r="D127" s="3" t="n">
        <v>6.17</v>
      </c>
      <c r="E127" s="3" t="inlineStr"/>
      <c r="F127" s="3">
        <f>IF(B127:B335="common", 4, IF(B127:B335="uncommon", 3, IF(B127:B335="rare", 0.792892156862745,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O127">
        <f>IF(C127="", 0, 1 / C127)</f>
        <v/>
      </c>
      <c r="P127">
        <f>F127 *O127</f>
        <v/>
      </c>
      <c r="Q127">
        <f> O127 *(D127 - P127)^2</f>
        <v/>
      </c>
      <c r="R127" s="3" t="n"/>
      <c r="S127" s="3" t="n"/>
      <c r="T127" s="3" t="n"/>
      <c r="U127" s="3" t="n"/>
      <c r="AA127">
        <f>E127 *1.88541666666666</f>
        <v/>
      </c>
      <c r="AB127" s="3">
        <f> 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Muk</t>
        </is>
      </c>
      <c r="B128" s="3" t="inlineStr">
        <is>
          <t>uncommon</t>
        </is>
      </c>
      <c r="C128" s="3" t="n">
        <v>33</v>
      </c>
      <c r="D128" s="3" t="n">
        <v>0.09</v>
      </c>
      <c r="E128" s="3" t="n">
        <v>0.17</v>
      </c>
      <c r="F128" s="3">
        <f>IF(B128:B336="common", 4, IF(B128:B336="uncommon", 3, IF(B128:B336="rare", 0.792892156862745,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O128">
        <f>IF(C128="", 0, 1 / C128)</f>
        <v/>
      </c>
      <c r="P128">
        <f>F128 *O128</f>
        <v/>
      </c>
      <c r="Q128">
        <f> O128 *(D128 - P128)^2</f>
        <v/>
      </c>
      <c r="R128" s="3" t="n"/>
      <c r="S128" s="3" t="n"/>
      <c r="T128" s="3" t="n"/>
      <c r="U128" s="3" t="n"/>
      <c r="AA128">
        <f>E128 *1.88541666666666</f>
        <v/>
      </c>
      <c r="AB128" s="3">
        <f> 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Nidoking - 034/165</t>
        </is>
      </c>
      <c r="B129" s="3" t="inlineStr">
        <is>
          <t>rare</t>
        </is>
      </c>
      <c r="C129" s="3" t="n">
        <v>21</v>
      </c>
      <c r="D129" s="3" t="n">
        <v>0.19</v>
      </c>
      <c r="E129" s="3" t="n">
        <v>0.7</v>
      </c>
      <c r="F129" s="3">
        <f>IF(B129:B337="common", 4, IF(B129:B337="uncommon", 3, IF(B129:B337="rare", 0.792892156862745,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O129">
        <f>IF(C129="", 0, 1 / C129)</f>
        <v/>
      </c>
      <c r="P129">
        <f>F129 *O129</f>
        <v/>
      </c>
      <c r="Q129">
        <f> O129 *(D129 - P129)^2</f>
        <v/>
      </c>
      <c r="R129" s="3" t="n"/>
      <c r="S129" s="3" t="n"/>
      <c r="T129" s="3" t="n"/>
      <c r="U129" s="3" t="n"/>
      <c r="AA129">
        <f>E129 *1.88541666666666</f>
        <v/>
      </c>
      <c r="AB129" s="3">
        <f> 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Nidoking - 174/165</t>
        </is>
      </c>
      <c r="B130" s="3" t="inlineStr">
        <is>
          <t>illustration rare</t>
        </is>
      </c>
      <c r="C130" s="3" t="n">
        <v>188</v>
      </c>
      <c r="D130" s="3" t="n">
        <v>9.59</v>
      </c>
      <c r="E130" s="3" t="inlineStr"/>
      <c r="F130" s="3">
        <f>IF(B130:B338="common", 4, IF(B130:B338="uncommon", 3, IF(B130:B338="rare", 0.792892156862745,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O130">
        <f>IF(C130="", 0, 1 / C130)</f>
        <v/>
      </c>
      <c r="P130">
        <f>F130 *O130</f>
        <v/>
      </c>
      <c r="Q130">
        <f> O130 *(D130 - P130)^2</f>
        <v/>
      </c>
      <c r="R130" s="3" t="n"/>
      <c r="S130" s="3" t="n"/>
      <c r="T130" s="3" t="n"/>
      <c r="U130" s="3" t="n"/>
      <c r="AA130">
        <f>E130 *1.88541666666666</f>
        <v/>
      </c>
      <c r="AB130" s="3">
        <f> 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Nidoqueen</t>
        </is>
      </c>
      <c r="B131" s="3" t="inlineStr">
        <is>
          <t>uncommon</t>
        </is>
      </c>
      <c r="C131" s="3" t="n">
        <v>33</v>
      </c>
      <c r="D131" s="3" t="n">
        <v>0.13</v>
      </c>
      <c r="E131" s="3" t="n">
        <v>0.17</v>
      </c>
      <c r="F131" s="3">
        <f>IF(B131:B339="common", 4, IF(B131:B339="uncommon", 3, IF(B131:B339="rare", 0.792892156862745,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O131">
        <f>IF(C131="", 0, 1 / C131)</f>
        <v/>
      </c>
      <c r="P131">
        <f>F131 *O131</f>
        <v/>
      </c>
      <c r="Q131">
        <f> O131 *(D131 - P131)^2</f>
        <v/>
      </c>
      <c r="R131" s="3" t="n"/>
      <c r="S131" s="3" t="n"/>
      <c r="T131" s="3" t="n"/>
      <c r="U131" s="3" t="n"/>
      <c r="AA131">
        <f>E131 *1.88541666666666</f>
        <v/>
      </c>
      <c r="AB131" s="3">
        <f> 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Nidoran F</t>
        </is>
      </c>
      <c r="B132" s="3" t="inlineStr">
        <is>
          <t>common</t>
        </is>
      </c>
      <c r="C132" s="3" t="n">
        <v>46</v>
      </c>
      <c r="D132" s="3" t="n">
        <v>0.12</v>
      </c>
      <c r="E132" s="3" t="n">
        <v>1.21</v>
      </c>
      <c r="F132" s="3">
        <f>IF(B132:B340="common", 4, IF(B132:B340="uncommon", 3, IF(B132:B340="rare", 0.792892156862745,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O132">
        <f>IF(C132="", 0, 1 / C132)</f>
        <v/>
      </c>
      <c r="P132">
        <f>F132 *O132</f>
        <v/>
      </c>
      <c r="Q132">
        <f> O132 *(D132 - P132)^2</f>
        <v/>
      </c>
      <c r="R132" s="3" t="n"/>
      <c r="S132" s="3" t="n"/>
      <c r="T132" s="3" t="n"/>
      <c r="U132" s="3" t="n"/>
      <c r="AA132">
        <f>E132 *1.88541666666666</f>
        <v/>
      </c>
      <c r="AB132" s="3">
        <f> 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Nidoran M</t>
        </is>
      </c>
      <c r="B133" s="3" t="inlineStr">
        <is>
          <t>common</t>
        </is>
      </c>
      <c r="C133" s="3" t="n">
        <v>46</v>
      </c>
      <c r="D133" s="3" t="n">
        <v>0.16</v>
      </c>
      <c r="E133" s="3" t="n">
        <v>1.22</v>
      </c>
      <c r="F133" s="3">
        <f>IF(B133:B341="common", 4, IF(B133:B341="uncommon", 3, IF(B133:B341="rare", 0.792892156862745,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O133">
        <f>IF(C133="", 0, 1 / C133)</f>
        <v/>
      </c>
      <c r="P133">
        <f>F133 *O133</f>
        <v/>
      </c>
      <c r="Q133">
        <f> O133 *(D133 - P133)^2</f>
        <v/>
      </c>
      <c r="R133" s="3" t="n"/>
      <c r="S133" s="3" t="n"/>
      <c r="T133" s="3" t="n"/>
      <c r="U133" s="3" t="n"/>
      <c r="AA133">
        <f>E133 *1.88541666666666</f>
        <v/>
      </c>
      <c r="AB133" s="3">
        <f> 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Nidorina</t>
        </is>
      </c>
      <c r="B134" s="3" t="inlineStr">
        <is>
          <t>uncommon</t>
        </is>
      </c>
      <c r="C134" s="3" t="n">
        <v>33</v>
      </c>
      <c r="D134" s="3" t="n">
        <v>0.09</v>
      </c>
      <c r="E134" s="3" t="n">
        <v>0.16</v>
      </c>
      <c r="F134" s="3">
        <f>IF(B134:B342="common", 4, IF(B134:B342="uncommon", 3, IF(B134:B342="rare", 0.792892156862745,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O134">
        <f>IF(C134="", 0, 1 / C134)</f>
        <v/>
      </c>
      <c r="P134">
        <f>F134 *O134</f>
        <v/>
      </c>
      <c r="Q134">
        <f> O134 *(D134 - P134)^2</f>
        <v/>
      </c>
      <c r="R134" s="3" t="n"/>
      <c r="S134" s="3" t="n"/>
      <c r="T134" s="3" t="n"/>
      <c r="U134" s="3" t="n"/>
      <c r="AA134">
        <f>E134 *1.88541666666666</f>
        <v/>
      </c>
      <c r="AB134" s="3">
        <f> 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Nidorino</t>
        </is>
      </c>
      <c r="B135" s="3" t="inlineStr">
        <is>
          <t>uncommon</t>
        </is>
      </c>
      <c r="C135" s="3" t="n">
        <v>33</v>
      </c>
      <c r="D135" s="3" t="n">
        <v>0.08</v>
      </c>
      <c r="E135" s="3" t="n">
        <v>0.17</v>
      </c>
      <c r="F135" s="3">
        <f>IF(B135:B343="common", 4, IF(B135:B343="uncommon", 3, IF(B135:B343="rare", 0.792892156862745,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O135">
        <f>IF(C135="", 0, 1 / C135)</f>
        <v/>
      </c>
      <c r="P135">
        <f>F135 *O135</f>
        <v/>
      </c>
      <c r="Q135">
        <f> O135 *(D135 - P135)^2</f>
        <v/>
      </c>
      <c r="R135" s="3" t="n"/>
      <c r="S135" s="3" t="n"/>
      <c r="T135" s="3" t="n"/>
      <c r="U135" s="3" t="n"/>
      <c r="AA135">
        <f>E135 *1.88541666666666</f>
        <v/>
      </c>
      <c r="AB135" s="3">
        <f> 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Ninetales ex - 038/165</t>
        </is>
      </c>
      <c r="B136" s="3" t="inlineStr">
        <is>
          <t>double rare</t>
        </is>
      </c>
      <c r="C136" s="3" t="n">
        <v>90</v>
      </c>
      <c r="D136" s="3" t="n">
        <v>1.05</v>
      </c>
      <c r="E136" s="3" t="inlineStr"/>
      <c r="F136" s="3">
        <f>IF(B136:B344="common", 4, IF(B136:B344="uncommon", 3, IF(B136:B344="rare", 0.792892156862745,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O136">
        <f>IF(C136="", 0, 1 / C136)</f>
        <v/>
      </c>
      <c r="P136">
        <f>F136 *O136</f>
        <v/>
      </c>
      <c r="Q136">
        <f> O136 *(D136 - P136)^2</f>
        <v/>
      </c>
      <c r="R136" s="3" t="n"/>
      <c r="S136" s="3" t="n"/>
      <c r="T136" s="3" t="n"/>
      <c r="U136" s="3" t="n"/>
      <c r="AA136">
        <f>E136 *1.88541666666666</f>
        <v/>
      </c>
      <c r="AB136" s="3">
        <f> 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Ninetales ex - 186/165</t>
        </is>
      </c>
      <c r="B137" s="3" t="inlineStr">
        <is>
          <t>ultra rare</t>
        </is>
      </c>
      <c r="C137" s="3" t="n">
        <v>248</v>
      </c>
      <c r="D137" s="3" t="n">
        <v>8.83</v>
      </c>
      <c r="E137" s="3" t="inlineStr"/>
      <c r="F137" s="3">
        <f>IF(B137:B345="common", 4, IF(B137:B345="uncommon", 3, IF(B137:B345="rare", 0.792892156862745,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O137">
        <f>IF(C137="", 0, 1 / C137)</f>
        <v/>
      </c>
      <c r="P137">
        <f>F137 *O137</f>
        <v/>
      </c>
      <c r="Q137">
        <f> O137 *(D137 - P137)^2</f>
        <v/>
      </c>
      <c r="R137" s="3" t="n"/>
      <c r="S137" s="3" t="n"/>
      <c r="T137" s="3" t="n"/>
      <c r="U137" s="3" t="n"/>
      <c r="AA137">
        <f>E137 *1.88541666666666</f>
        <v/>
      </c>
      <c r="AB137" s="3">
        <f> 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Oddish</t>
        </is>
      </c>
      <c r="B138" s="3" t="inlineStr">
        <is>
          <t>common</t>
        </is>
      </c>
      <c r="C138" s="3" t="n">
        <v>46</v>
      </c>
      <c r="D138" s="3" t="n">
        <v>0.08</v>
      </c>
      <c r="E138" s="3" t="n">
        <v>0.18</v>
      </c>
      <c r="F138" s="3">
        <f>IF(B138:B346="common", 4, IF(B138:B346="uncommon", 3, IF(B138:B346="rare", 0.792892156862745,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O138">
        <f>IF(C138="", 0, 1 / C138)</f>
        <v/>
      </c>
      <c r="P138">
        <f>F138 *O138</f>
        <v/>
      </c>
      <c r="Q138">
        <f> O138 *(D138 - P138)^2</f>
        <v/>
      </c>
      <c r="R138" s="3" t="n"/>
      <c r="S138" s="3" t="n"/>
      <c r="T138" s="3" t="n"/>
      <c r="U138" s="3" t="n"/>
      <c r="AA138">
        <f>E138 *1.88541666666666</f>
        <v/>
      </c>
      <c r="AB138" s="3">
        <f> 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Omanyte - 138/165</t>
        </is>
      </c>
      <c r="B139" s="3" t="inlineStr">
        <is>
          <t>uncommon</t>
        </is>
      </c>
      <c r="C139" s="3" t="n">
        <v>33</v>
      </c>
      <c r="D139" s="3" t="n">
        <v>0.08</v>
      </c>
      <c r="E139" s="3" t="n">
        <v>0.93</v>
      </c>
      <c r="F139" s="3">
        <f>IF(B139:B347="common", 4, IF(B139:B347="uncommon", 3, IF(B139:B347="rare", 0.792892156862745,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O139">
        <f>IF(C139="", 0, 1 / C139)</f>
        <v/>
      </c>
      <c r="P139">
        <f>F139 *O139</f>
        <v/>
      </c>
      <c r="Q139">
        <f> O139 *(D139 - P139)^2</f>
        <v/>
      </c>
      <c r="R139" s="3" t="n"/>
      <c r="S139" s="3" t="n"/>
      <c r="T139" s="3" t="n"/>
      <c r="U139" s="3" t="n"/>
      <c r="AA139">
        <f>E139 *1.88541666666666</f>
        <v/>
      </c>
      <c r="AB139" s="3">
        <f> 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Omanyte - 180/165</t>
        </is>
      </c>
      <c r="B140" s="3" t="inlineStr">
        <is>
          <t>illustration rare</t>
        </is>
      </c>
      <c r="C140" s="3" t="n">
        <v>188</v>
      </c>
      <c r="D140" s="3" t="n">
        <v>6.16</v>
      </c>
      <c r="E140" s="3" t="inlineStr"/>
      <c r="F140" s="3">
        <f>IF(B140:B348="common", 4, IF(B140:B348="uncommon", 3, IF(B140:B348="rare", 0.792892156862745,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O140">
        <f>IF(C140="", 0, 1 / C140)</f>
        <v/>
      </c>
      <c r="P140">
        <f>F140 *O140</f>
        <v/>
      </c>
      <c r="Q140">
        <f> O140 *(D140 - P140)^2</f>
        <v/>
      </c>
      <c r="R140" s="3" t="n"/>
      <c r="S140" s="3" t="n"/>
      <c r="T140" s="3" t="n"/>
      <c r="U140" s="3" t="n"/>
      <c r="AA140">
        <f>E140 *1.88541666666666</f>
        <v/>
      </c>
      <c r="AB140" s="3">
        <f> 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Omastar</t>
        </is>
      </c>
      <c r="B141" s="3" t="inlineStr">
        <is>
          <t>rare</t>
        </is>
      </c>
      <c r="C141" s="3" t="n">
        <v>21</v>
      </c>
      <c r="D141" s="3" t="n">
        <v>0.15</v>
      </c>
      <c r="E141" s="3" t="n">
        <v>0.66</v>
      </c>
      <c r="F141" s="3">
        <f>IF(B141:B349="common", 4, IF(B141:B349="uncommon", 3, IF(B141:B349="rare", 0.792892156862745,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O141">
        <f>IF(C141="", 0, 1 / C141)</f>
        <v/>
      </c>
      <c r="P141">
        <f>F141 *O141</f>
        <v/>
      </c>
      <c r="Q141">
        <f> O141 *(D141 - P141)^2</f>
        <v/>
      </c>
      <c r="R141" s="3" t="n"/>
      <c r="S141" s="3" t="n"/>
      <c r="T141" s="3" t="n"/>
      <c r="U141" s="3" t="n"/>
      <c r="AA141">
        <f>E141 *1.88541666666666</f>
        <v/>
      </c>
      <c r="AB141" s="3">
        <f> 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Onix</t>
        </is>
      </c>
      <c r="B142" s="3" t="inlineStr">
        <is>
          <t>uncommon</t>
        </is>
      </c>
      <c r="C142" s="3" t="n">
        <v>33</v>
      </c>
      <c r="D142" s="3" t="n">
        <v>0.08</v>
      </c>
      <c r="E142" s="3" t="n">
        <v>0.91</v>
      </c>
      <c r="F142" s="3">
        <f>IF(B142:B350="common", 4, IF(B142:B350="uncommon", 3, IF(B142:B350="rare", 0.792892156862745,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O142">
        <f>IF(C142="", 0, 1 / C142)</f>
        <v/>
      </c>
      <c r="P142">
        <f>F142 *O142</f>
        <v/>
      </c>
      <c r="Q142">
        <f> O142 *(D142 - P142)^2</f>
        <v/>
      </c>
      <c r="R142" s="3" t="n"/>
      <c r="S142" s="3" t="n"/>
      <c r="T142" s="3" t="n"/>
      <c r="U142" s="3" t="n"/>
      <c r="AA142">
        <f>E142 *1.88541666666666</f>
        <v/>
      </c>
      <c r="AB142" s="3">
        <f> 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Paras</t>
        </is>
      </c>
      <c r="B143" s="3" t="inlineStr">
        <is>
          <t>common</t>
        </is>
      </c>
      <c r="C143" s="3" t="n">
        <v>46</v>
      </c>
      <c r="D143" s="3" t="n">
        <v>0.06</v>
      </c>
      <c r="E143" s="3" t="n">
        <v>0.16</v>
      </c>
      <c r="F143" s="3">
        <f>IF(B143:B351="common", 4, IF(B143:B351="uncommon", 3, IF(B143:B351="rare", 0.792892156862745,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O143">
        <f>IF(C143="", 0, 1 / C143)</f>
        <v/>
      </c>
      <c r="P143">
        <f>F143 *O143</f>
        <v/>
      </c>
      <c r="Q143">
        <f> O143 *(D143 - P143)^2</f>
        <v/>
      </c>
      <c r="R143" s="3" t="n"/>
      <c r="S143" s="3" t="n"/>
      <c r="T143" s="3" t="n"/>
      <c r="U143" s="3" t="n"/>
      <c r="AA143">
        <f>E143 *1.88541666666666</f>
        <v/>
      </c>
      <c r="AB143" s="3">
        <f> 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Parasect</t>
        </is>
      </c>
      <c r="B144" s="3" t="inlineStr">
        <is>
          <t>uncommon</t>
        </is>
      </c>
      <c r="C144" s="3" t="n">
        <v>33</v>
      </c>
      <c r="D144" s="3" t="n">
        <v>0.07000000000000001</v>
      </c>
      <c r="E144" s="3" t="n">
        <v>0.15</v>
      </c>
      <c r="F144" s="3">
        <f>IF(B144:B352="common", 4, IF(B144:B352="uncommon", 3, IF(B144:B352="rare", 0.792892156862745,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O144">
        <f>IF(C144="", 0, 1 / C144)</f>
        <v/>
      </c>
      <c r="P144">
        <f>F144 *O144</f>
        <v/>
      </c>
      <c r="Q144">
        <f> O144 *(D144 - P144)^2</f>
        <v/>
      </c>
      <c r="R144" s="3" t="n"/>
      <c r="S144" s="3" t="n"/>
      <c r="T144" s="3" t="n"/>
      <c r="U144" s="3" t="n"/>
      <c r="AA144">
        <f>E144 *1.88541666666666</f>
        <v/>
      </c>
      <c r="AB144" s="3">
        <f> 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Persian</t>
        </is>
      </c>
      <c r="B145" s="3" t="inlineStr">
        <is>
          <t>uncommon</t>
        </is>
      </c>
      <c r="C145" s="3" t="n">
        <v>33</v>
      </c>
      <c r="D145" s="3" t="n">
        <v>0.05</v>
      </c>
      <c r="E145" s="3" t="n">
        <v>0.14</v>
      </c>
      <c r="F145" s="3">
        <f>IF(B145:B353="common", 4, IF(B145:B353="uncommon", 3, IF(B145:B353="rare", 0.792892156862745,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O145">
        <f>IF(C145="", 0, 1 / C145)</f>
        <v/>
      </c>
      <c r="P145">
        <f>F145 *O145</f>
        <v/>
      </c>
      <c r="Q145">
        <f> O145 *(D145 - P145)^2</f>
        <v/>
      </c>
      <c r="R145" s="3" t="n"/>
      <c r="S145" s="3" t="n"/>
      <c r="T145" s="3" t="n"/>
      <c r="U145" s="3" t="n"/>
      <c r="AA145">
        <f>E145 *1.88541666666666</f>
        <v/>
      </c>
      <c r="AB145" s="3">
        <f> 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Pidgeot</t>
        </is>
      </c>
      <c r="B146" s="3" t="inlineStr">
        <is>
          <t>uncommon</t>
        </is>
      </c>
      <c r="C146" s="3" t="n">
        <v>33</v>
      </c>
      <c r="D146" s="3" t="n">
        <v>0.09</v>
      </c>
      <c r="E146" s="3" t="n">
        <v>0.16</v>
      </c>
      <c r="F146" s="3">
        <f>IF(B146:B354="common", 4, IF(B146:B354="uncommon", 3, IF(B146:B354="rare", 0.792892156862745,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O146">
        <f>IF(C146="", 0, 1 / C146)</f>
        <v/>
      </c>
      <c r="P146">
        <f>F146 *O146</f>
        <v/>
      </c>
      <c r="Q146">
        <f> O146 *(D146 - P146)^2</f>
        <v/>
      </c>
      <c r="R146" s="3" t="n"/>
      <c r="S146" s="3" t="n"/>
      <c r="T146" s="3" t="n"/>
      <c r="U146" s="3" t="n"/>
      <c r="AA146">
        <f>E146 *1.88541666666666</f>
        <v/>
      </c>
      <c r="AB146" s="3">
        <f> 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Pidgeotto</t>
        </is>
      </c>
      <c r="B147" s="3" t="inlineStr">
        <is>
          <t>common</t>
        </is>
      </c>
      <c r="C147" s="3" t="n">
        <v>46</v>
      </c>
      <c r="D147" s="3" t="n">
        <v>0.16</v>
      </c>
      <c r="E147" s="3" t="n">
        <v>2.05</v>
      </c>
      <c r="F147" s="3">
        <f>IF(B147:B355="common", 4, IF(B147:B355="uncommon", 3, IF(B147:B355="rare", 0.792892156862745,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O147">
        <f>IF(C147="", 0, 1 / C147)</f>
        <v/>
      </c>
      <c r="P147">
        <f>F147 *O147</f>
        <v/>
      </c>
      <c r="Q147">
        <f> O147 *(D147 - P147)^2</f>
        <v/>
      </c>
      <c r="R147" s="3" t="n"/>
      <c r="S147" s="3" t="n"/>
      <c r="T147" s="3" t="n"/>
      <c r="U147" s="3" t="n"/>
      <c r="AA147">
        <f>E147 *1.88541666666666</f>
        <v/>
      </c>
      <c r="AB147" s="3">
        <f> 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Pidgey</t>
        </is>
      </c>
      <c r="B148" s="3" t="inlineStr">
        <is>
          <t>common</t>
        </is>
      </c>
      <c r="C148" s="3" t="n">
        <v>46</v>
      </c>
      <c r="D148" s="3" t="n">
        <v>0.12</v>
      </c>
      <c r="E148" s="3" t="n">
        <v>0.19</v>
      </c>
      <c r="F148" s="3">
        <f>IF(B148:B356="common", 4, IF(B148:B356="uncommon", 3, IF(B148:B356="rare", 0.792892156862745,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O148">
        <f>IF(C148="", 0, 1 / C148)</f>
        <v/>
      </c>
      <c r="P148">
        <f>F148 *O148</f>
        <v/>
      </c>
      <c r="Q148">
        <f> O148 *(D148 - P148)^2</f>
        <v/>
      </c>
      <c r="R148" s="3" t="n"/>
      <c r="S148" s="3" t="n"/>
      <c r="T148" s="3" t="n"/>
      <c r="U148" s="3" t="n"/>
      <c r="AA148">
        <f>E148 *1.88541666666666</f>
        <v/>
      </c>
      <c r="AB148" s="3">
        <f> 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Pikachu - 025/165</t>
        </is>
      </c>
      <c r="B149" s="3" t="inlineStr">
        <is>
          <t>common</t>
        </is>
      </c>
      <c r="C149" s="3" t="n">
        <v>46</v>
      </c>
      <c r="D149" s="3" t="n">
        <v>0.13</v>
      </c>
      <c r="E149" s="3" t="n">
        <v>0.24</v>
      </c>
      <c r="F149" s="3">
        <f>IF(B149:B357="common", 4, IF(B149:B357="uncommon", 3, IF(B149:B357="rare", 0.792892156862745,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O149">
        <f>IF(C149="", 0, 1 / C149)</f>
        <v/>
      </c>
      <c r="P149">
        <f>F149 *O149</f>
        <v/>
      </c>
      <c r="Q149">
        <f> O149 *(D149 - P149)^2</f>
        <v/>
      </c>
      <c r="R149" s="3" t="n"/>
      <c r="S149" s="3" t="n"/>
      <c r="T149" s="3" t="n"/>
      <c r="U149" s="3" t="n"/>
      <c r="AA149">
        <f>E149 *1.88541666666666</f>
        <v/>
      </c>
      <c r="AB149" s="3">
        <f> 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Pikachu - 173/165</t>
        </is>
      </c>
      <c r="B150" s="3" t="inlineStr">
        <is>
          <t>illustration rare</t>
        </is>
      </c>
      <c r="C150" s="3" t="n">
        <v>188</v>
      </c>
      <c r="D150" s="3" t="n">
        <v>26.72</v>
      </c>
      <c r="E150" s="3" t="inlineStr"/>
      <c r="F150" s="3">
        <f>IF(B150:B358="common", 4, IF(B150:B358="uncommon", 3, IF(B150:B358="rare", 0.792892156862745,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O150">
        <f>IF(C150="", 0, 1 / C150)</f>
        <v/>
      </c>
      <c r="P150">
        <f>F150 *O150</f>
        <v/>
      </c>
      <c r="Q150">
        <f> O150 *(D150 - P150)^2</f>
        <v/>
      </c>
      <c r="R150" s="3" t="n"/>
      <c r="S150" s="3" t="n"/>
      <c r="T150" s="3" t="n"/>
      <c r="U150" s="3" t="n"/>
      <c r="AA150">
        <f>E150 *1.88541666666666</f>
        <v/>
      </c>
      <c r="AB150" s="3">
        <f> 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Pinsir</t>
        </is>
      </c>
      <c r="B151" s="3" t="inlineStr">
        <is>
          <t>uncommon</t>
        </is>
      </c>
      <c r="C151" s="3" t="n">
        <v>33</v>
      </c>
      <c r="D151" s="3" t="n">
        <v>0.09</v>
      </c>
      <c r="E151" s="3" t="n">
        <v>0.78</v>
      </c>
      <c r="F151" s="3">
        <f>IF(B151:B359="common", 4, IF(B151:B359="uncommon", 3, IF(B151:B359="rare", 0.792892156862745,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O151">
        <f>IF(C151="", 0, 1 / C151)</f>
        <v/>
      </c>
      <c r="P151">
        <f>F151 *O151</f>
        <v/>
      </c>
      <c r="Q151">
        <f> O151 *(D151 - P151)^2</f>
        <v/>
      </c>
      <c r="R151" s="3" t="n"/>
      <c r="S151" s="3" t="n"/>
      <c r="T151" s="3" t="n"/>
      <c r="U151" s="3" t="n"/>
      <c r="AA151">
        <f>E151 *1.88541666666666</f>
        <v/>
      </c>
      <c r="AB151" s="3">
        <f> 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Poliwag</t>
        </is>
      </c>
      <c r="B152" s="3" t="inlineStr">
        <is>
          <t>common</t>
        </is>
      </c>
      <c r="C152" s="3" t="n">
        <v>46</v>
      </c>
      <c r="D152" s="3" t="n">
        <v>0.06</v>
      </c>
      <c r="E152" s="3" t="n">
        <v>0.16</v>
      </c>
      <c r="F152" s="3">
        <f>IF(B152:B360="common", 4, IF(B152:B360="uncommon", 3, IF(B152:B360="rare", 0.792892156862745,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O152">
        <f>IF(C152="", 0, 1 / C152)</f>
        <v/>
      </c>
      <c r="P152">
        <f>F152 *O152</f>
        <v/>
      </c>
      <c r="Q152">
        <f> O152 *(D152 - P152)^2</f>
        <v/>
      </c>
      <c r="R152" s="3" t="n"/>
      <c r="S152" s="3" t="n"/>
      <c r="T152" s="3" t="n"/>
      <c r="U152" s="3" t="n"/>
      <c r="AA152">
        <f>E152 *1.88541666666666</f>
        <v/>
      </c>
      <c r="AB152" s="3">
        <f> 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Poliwhirl - 061/165</t>
        </is>
      </c>
      <c r="B153" s="3" t="inlineStr">
        <is>
          <t>common</t>
        </is>
      </c>
      <c r="C153" s="3" t="n">
        <v>46</v>
      </c>
      <c r="D153" s="3" t="n">
        <v>0.17</v>
      </c>
      <c r="E153" s="3" t="n">
        <v>1.33</v>
      </c>
      <c r="F153" s="3">
        <f>IF(B153:B361="common", 4, IF(B153:B361="uncommon", 3, IF(B153:B361="rare", 0.792892156862745,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O153">
        <f>IF(C153="", 0, 1 / C153)</f>
        <v/>
      </c>
      <c r="P153">
        <f>F153 *O153</f>
        <v/>
      </c>
      <c r="Q153">
        <f> O153 *(D153 - P153)^2</f>
        <v/>
      </c>
      <c r="R153" s="3" t="n"/>
      <c r="S153" s="3" t="n"/>
      <c r="T153" s="3" t="n"/>
      <c r="U153" s="3" t="n"/>
      <c r="AA153">
        <f>E153 *1.88541666666666</f>
        <v/>
      </c>
      <c r="AB153" s="3">
        <f> 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Poliwhirl - 176/165</t>
        </is>
      </c>
      <c r="B154" s="3" t="inlineStr">
        <is>
          <t>illustration rare</t>
        </is>
      </c>
      <c r="C154" s="3" t="n">
        <v>188</v>
      </c>
      <c r="D154" s="3" t="n">
        <v>17.55</v>
      </c>
      <c r="E154" s="3" t="inlineStr"/>
      <c r="F154" s="3">
        <f>IF(B154:B362="common", 4, IF(B154:B362="uncommon", 3, IF(B154:B362="rare", 0.792892156862745,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O154">
        <f>IF(C154="", 0, 1 / C154)</f>
        <v/>
      </c>
      <c r="P154">
        <f>F154 *O154</f>
        <v/>
      </c>
      <c r="Q154">
        <f> O154 *(D154 - P154)^2</f>
        <v/>
      </c>
      <c r="R154" s="3" t="n"/>
      <c r="S154" s="3" t="n"/>
      <c r="T154" s="3" t="n"/>
      <c r="U154" s="3" t="n"/>
      <c r="AA154">
        <f>E154 *1.88541666666666</f>
        <v/>
      </c>
      <c r="AB154" s="3">
        <f> 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Poliwrath</t>
        </is>
      </c>
      <c r="B155" s="3" t="inlineStr">
        <is>
          <t>uncommon</t>
        </is>
      </c>
      <c r="C155" s="3" t="n">
        <v>33</v>
      </c>
      <c r="D155" s="3" t="n">
        <v>0.09</v>
      </c>
      <c r="E155" s="3" t="n">
        <v>0.18</v>
      </c>
      <c r="F155" s="3">
        <f>IF(B155:B363="common", 4, IF(B155:B363="uncommon", 3, IF(B155:B363="rare", 0.792892156862745,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O155">
        <f>IF(C155="", 0, 1 / C155)</f>
        <v/>
      </c>
      <c r="P155">
        <f>F155 *O155</f>
        <v/>
      </c>
      <c r="Q155">
        <f> O155 *(D155 - P155)^2</f>
        <v/>
      </c>
      <c r="R155" s="3" t="n"/>
      <c r="S155" s="3" t="n"/>
      <c r="T155" s="3" t="n"/>
      <c r="U155" s="3" t="n"/>
      <c r="AA155">
        <f>E155 *1.88541666666666</f>
        <v/>
      </c>
      <c r="AB155" s="3">
        <f> 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Ponyta</t>
        </is>
      </c>
      <c r="B156" s="3" t="inlineStr">
        <is>
          <t>common</t>
        </is>
      </c>
      <c r="C156" s="3" t="n">
        <v>46</v>
      </c>
      <c r="D156" s="3" t="n">
        <v>0.05</v>
      </c>
      <c r="E156" s="3" t="n">
        <v>0.17</v>
      </c>
      <c r="F156" s="3">
        <f>IF(B156:B364="common", 4, IF(B156:B364="uncommon", 3, IF(B156:B364="rare", 0.792892156862745,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O156">
        <f>IF(C156="", 0, 1 / C156)</f>
        <v/>
      </c>
      <c r="P156">
        <f>F156 *O156</f>
        <v/>
      </c>
      <c r="Q156">
        <f> O156 *(D156 - P156)^2</f>
        <v/>
      </c>
      <c r="R156" s="3" t="n"/>
      <c r="S156" s="3" t="n"/>
      <c r="T156" s="3" t="n"/>
      <c r="U156" s="3" t="n"/>
      <c r="AA156">
        <f>E156 *1.88541666666666</f>
        <v/>
      </c>
      <c r="AB156" s="3">
        <f> 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Porygon</t>
        </is>
      </c>
      <c r="B157" s="3" t="inlineStr">
        <is>
          <t>common</t>
        </is>
      </c>
      <c r="C157" s="3" t="n">
        <v>46</v>
      </c>
      <c r="D157" s="3" t="n">
        <v>0.06</v>
      </c>
      <c r="E157" s="3" t="n">
        <v>0.17</v>
      </c>
      <c r="F157" s="3">
        <f>IF(B157:B365="common", 4, IF(B157:B365="uncommon", 3, IF(B157:B365="rare", 0.792892156862745,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O157">
        <f>IF(C157="", 0, 1 / C157)</f>
        <v/>
      </c>
      <c r="P157">
        <f>F157 *O157</f>
        <v/>
      </c>
      <c r="Q157">
        <f> O157 *(D157 - P157)^2</f>
        <v/>
      </c>
      <c r="R157" s="3" t="n"/>
      <c r="S157" s="3" t="n"/>
      <c r="T157" s="3" t="n"/>
      <c r="U157" s="3" t="n"/>
      <c r="AA157">
        <f>E157 *1.88541666666666</f>
        <v/>
      </c>
      <c r="AB157" s="3">
        <f> 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Primeape</t>
        </is>
      </c>
      <c r="B158" s="3" t="inlineStr">
        <is>
          <t>uncommon</t>
        </is>
      </c>
      <c r="C158" s="3" t="n">
        <v>33</v>
      </c>
      <c r="D158" s="3" t="n">
        <v>0.06</v>
      </c>
      <c r="E158" s="3" t="n">
        <v>0.14</v>
      </c>
      <c r="F158" s="3">
        <f>IF(B158:B366="common", 4, IF(B158:B366="uncommon", 3, IF(B158:B366="rare", 0.792892156862745,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O158">
        <f>IF(C158="", 0, 1 / C158)</f>
        <v/>
      </c>
      <c r="P158">
        <f>F158 *O158</f>
        <v/>
      </c>
      <c r="Q158">
        <f> O158 *(D158 - P158)^2</f>
        <v/>
      </c>
      <c r="R158" s="3" t="n"/>
      <c r="S158" s="3" t="n"/>
      <c r="T158" s="3" t="n"/>
      <c r="U158" s="3" t="n"/>
      <c r="AA158">
        <f>E158 *1.88541666666666</f>
        <v/>
      </c>
      <c r="AB158" s="3">
        <f> 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Protective Goggles</t>
        </is>
      </c>
      <c r="B159" s="3" t="inlineStr">
        <is>
          <t>uncommon</t>
        </is>
      </c>
      <c r="C159" s="3" t="n">
        <v>33</v>
      </c>
      <c r="D159" s="3" t="n">
        <v>0.15</v>
      </c>
      <c r="E159" s="3" t="n">
        <v>0.91</v>
      </c>
      <c r="F159" s="3">
        <f>IF(B159:B367="common", 4, IF(B159:B367="uncommon", 3, IF(B159:B367="rare", 0.792892156862745,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O159">
        <f>IF(C159="", 0, 1 / C159)</f>
        <v/>
      </c>
      <c r="P159">
        <f>F159 *O159</f>
        <v/>
      </c>
      <c r="Q159">
        <f> O159 *(D159 - P159)^2</f>
        <v/>
      </c>
      <c r="R159" s="3" t="n"/>
      <c r="S159" s="3" t="n"/>
      <c r="T159" s="3" t="n"/>
      <c r="U159" s="3" t="n"/>
      <c r="AA159">
        <f>E159 *1.88541666666666</f>
        <v/>
      </c>
      <c r="AB159" s="3">
        <f> 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Psyduck - 054/165</t>
        </is>
      </c>
      <c r="B160" s="3" t="inlineStr">
        <is>
          <t>common</t>
        </is>
      </c>
      <c r="C160" s="3" t="n">
        <v>46</v>
      </c>
      <c r="D160" s="3" t="n">
        <v>0.1</v>
      </c>
      <c r="E160" s="3" t="n">
        <v>0.18</v>
      </c>
      <c r="F160" s="3">
        <f>IF(B160:B368="common", 4, IF(B160:B368="uncommon", 3, IF(B160:B368="rare", 0.792892156862745,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O160">
        <f>IF(C160="", 0, 1 / C160)</f>
        <v/>
      </c>
      <c r="P160">
        <f>F160 *O160</f>
        <v/>
      </c>
      <c r="Q160">
        <f> O160 *(D160 - P160)^2</f>
        <v/>
      </c>
      <c r="R160" s="3" t="n"/>
      <c r="S160" s="3" t="n"/>
      <c r="T160" s="3" t="n"/>
      <c r="U160" s="3" t="n"/>
      <c r="AA160">
        <f>E160 *1.88541666666666</f>
        <v/>
      </c>
      <c r="AB160" s="3">
        <f> 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Psyduck - 175/165</t>
        </is>
      </c>
      <c r="B161" s="3" t="inlineStr">
        <is>
          <t>illustration rare</t>
        </is>
      </c>
      <c r="C161" s="3" t="n">
        <v>188</v>
      </c>
      <c r="D161" s="3" t="n">
        <v>19.28</v>
      </c>
      <c r="E161" s="3" t="inlineStr"/>
      <c r="F161" s="3">
        <f>IF(B161:B369="common", 4, IF(B161:B369="uncommon", 3, IF(B161:B369="rare", 0.792892156862745,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O161">
        <f>IF(C161="", 0, 1 / C161)</f>
        <v/>
      </c>
      <c r="P161">
        <f>F161 *O161</f>
        <v/>
      </c>
      <c r="Q161">
        <f> O161 *(D161 - P161)^2</f>
        <v/>
      </c>
      <c r="R161" s="3" t="n"/>
      <c r="S161" s="3" t="n"/>
      <c r="T161" s="3" t="n"/>
      <c r="U161" s="3" t="n"/>
      <c r="AA161">
        <f>E161 *1.88541666666666</f>
        <v/>
      </c>
      <c r="AB161" s="3">
        <f> 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Raichu</t>
        </is>
      </c>
      <c r="B162" s="3" t="inlineStr">
        <is>
          <t>rare</t>
        </is>
      </c>
      <c r="C162" s="3" t="n">
        <v>21</v>
      </c>
      <c r="D162" s="3" t="n">
        <v>0.19</v>
      </c>
      <c r="E162" s="3" t="n">
        <v>1.24</v>
      </c>
      <c r="F162" s="3">
        <f>IF(B162:B370="common", 4, IF(B162:B370="uncommon", 3, IF(B162:B370="rare", 0.792892156862745,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O162">
        <f>IF(C162="", 0, 1 / C162)</f>
        <v/>
      </c>
      <c r="P162">
        <f>F162 *O162</f>
        <v/>
      </c>
      <c r="Q162">
        <f> O162 *(D162 - P162)^2</f>
        <v/>
      </c>
      <c r="R162" s="3" t="n"/>
      <c r="S162" s="3" t="n"/>
      <c r="T162" s="3" t="n"/>
      <c r="U162" s="3" t="n"/>
      <c r="AA162">
        <f>E162 *1.88541666666666</f>
        <v/>
      </c>
      <c r="AB162" s="3">
        <f> 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Rapidash</t>
        </is>
      </c>
      <c r="B163" s="3" t="inlineStr">
        <is>
          <t>uncommon</t>
        </is>
      </c>
      <c r="C163" s="3" t="n">
        <v>33</v>
      </c>
      <c r="D163" s="3" t="n">
        <v>0.05</v>
      </c>
      <c r="E163" s="3" t="n">
        <v>0.17</v>
      </c>
      <c r="F163" s="3">
        <f>IF(B163:B371="common", 4, IF(B163:B371="uncommon", 3, IF(B163:B371="rare", 0.792892156862745,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O163">
        <f>IF(C163="", 0, 1 / C163)</f>
        <v/>
      </c>
      <c r="P163">
        <f>F163 *O163</f>
        <v/>
      </c>
      <c r="Q163">
        <f> O163 *(D163 - P163)^2</f>
        <v/>
      </c>
      <c r="R163" s="3" t="n"/>
      <c r="S163" s="3" t="n"/>
      <c r="T163" s="3" t="n"/>
      <c r="U163" s="3" t="n"/>
      <c r="AA163">
        <f>E163 *1.88541666666666</f>
        <v/>
      </c>
      <c r="AB163" s="3">
        <f> 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Raticate</t>
        </is>
      </c>
      <c r="B164" s="3" t="inlineStr">
        <is>
          <t>uncommon</t>
        </is>
      </c>
      <c r="C164" s="3" t="n">
        <v>33</v>
      </c>
      <c r="D164" s="3" t="n">
        <v>0.08</v>
      </c>
      <c r="E164" s="3" t="n">
        <v>0.18</v>
      </c>
      <c r="F164" s="3">
        <f>IF(B164:B372="common", 4, IF(B164:B372="uncommon", 3, IF(B164:B372="rare", 0.792892156862745,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O164">
        <f>IF(C164="", 0, 1 / C164)</f>
        <v/>
      </c>
      <c r="P164">
        <f>F164 *O164</f>
        <v/>
      </c>
      <c r="Q164">
        <f> O164 *(D164 - P164)^2</f>
        <v/>
      </c>
      <c r="R164" s="3" t="n"/>
      <c r="S164" s="3" t="n"/>
      <c r="T164" s="3" t="n"/>
      <c r="U164" s="3" t="n"/>
      <c r="AA164">
        <f>E164 *1.88541666666666</f>
        <v/>
      </c>
      <c r="AB164" s="3">
        <f> 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Rattata</t>
        </is>
      </c>
      <c r="B165" s="3" t="inlineStr">
        <is>
          <t>common</t>
        </is>
      </c>
      <c r="C165" s="3" t="n">
        <v>46</v>
      </c>
      <c r="D165" s="3" t="n">
        <v>0.07000000000000001</v>
      </c>
      <c r="E165" s="3" t="n">
        <v>0.19</v>
      </c>
      <c r="F165" s="3">
        <f>IF(B165:B373="common", 4, IF(B165:B373="uncommon", 3, IF(B165:B373="rare", 0.792892156862745,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O165">
        <f>IF(C165="", 0, 1 / C165)</f>
        <v/>
      </c>
      <c r="P165">
        <f>F165 *O165</f>
        <v/>
      </c>
      <c r="Q165">
        <f> O165 *(D165 - P165)^2</f>
        <v/>
      </c>
      <c r="R165" s="3" t="n"/>
      <c r="S165" s="3" t="n"/>
      <c r="T165" s="3" t="n"/>
      <c r="U165" s="3" t="n"/>
      <c r="AA165">
        <f>E165 *1.88541666666666</f>
        <v/>
      </c>
      <c r="AB165" s="3">
        <f> 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Rhydon</t>
        </is>
      </c>
      <c r="B166" s="3" t="inlineStr">
        <is>
          <t>uncommon</t>
        </is>
      </c>
      <c r="C166" s="3" t="n">
        <v>33</v>
      </c>
      <c r="D166" s="3" t="n">
        <v>0.07000000000000001</v>
      </c>
      <c r="E166" s="3" t="n">
        <v>0.18</v>
      </c>
      <c r="F166" s="3">
        <f>IF(B166:B374="common", 4, IF(B166:B374="uncommon", 3, IF(B166:B374="rare", 0.792892156862745,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O166">
        <f>IF(C166="", 0, 1 / C166)</f>
        <v/>
      </c>
      <c r="P166">
        <f>F166 *O166</f>
        <v/>
      </c>
      <c r="Q166">
        <f> O166 *(D166 - P166)^2</f>
        <v/>
      </c>
      <c r="R166" s="3" t="n"/>
      <c r="S166" s="3" t="n"/>
      <c r="T166" s="3" t="n"/>
      <c r="U166" s="3" t="n"/>
      <c r="AA166">
        <f>E166 *1.88541666666666</f>
        <v/>
      </c>
      <c r="AB166" s="3">
        <f> 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Rhyhorn</t>
        </is>
      </c>
      <c r="B167" s="3" t="inlineStr">
        <is>
          <t>common</t>
        </is>
      </c>
      <c r="C167" s="3" t="n">
        <v>46</v>
      </c>
      <c r="D167" s="3" t="n">
        <v>0.05</v>
      </c>
      <c r="E167" s="3" t="n">
        <v>0.14</v>
      </c>
      <c r="F167" s="3">
        <f>IF(B167:B375="common", 4, IF(B167:B375="uncommon", 3, IF(B167:B375="rare", 0.792892156862745,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O167">
        <f>IF(C167="", 0, 1 / C167)</f>
        <v/>
      </c>
      <c r="P167">
        <f>F167 *O167</f>
        <v/>
      </c>
      <c r="Q167">
        <f> O167 *(D167 - P167)^2</f>
        <v/>
      </c>
      <c r="R167" s="3" t="n"/>
      <c r="S167" s="3" t="n"/>
      <c r="T167" s="3" t="n"/>
      <c r="U167" s="3" t="n"/>
      <c r="AA167">
        <f>E167 *1.88541666666666</f>
        <v/>
      </c>
      <c r="AB167" s="3">
        <f> 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Rigid Band</t>
        </is>
      </c>
      <c r="B168" s="3" t="inlineStr">
        <is>
          <t>uncommon</t>
        </is>
      </c>
      <c r="C168" s="3" t="n">
        <v>33</v>
      </c>
      <c r="D168" s="3" t="n">
        <v>0.13</v>
      </c>
      <c r="E168" s="3" t="n">
        <v>0.91</v>
      </c>
      <c r="F168" s="3">
        <f>IF(B168:B376="common", 4, IF(B168:B376="uncommon", 3, IF(B168:B376="rare", 0.792892156862745,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O168">
        <f>IF(C168="", 0, 1 / C168)</f>
        <v/>
      </c>
      <c r="P168">
        <f>F168 *O168</f>
        <v/>
      </c>
      <c r="Q168">
        <f> O168 *(D168 - P168)^2</f>
        <v/>
      </c>
      <c r="R168" s="3" t="n"/>
      <c r="S168" s="3" t="n"/>
      <c r="T168" s="3" t="n"/>
      <c r="U168" s="3" t="n"/>
      <c r="AA168">
        <f>E168 *1.88541666666666</f>
        <v/>
      </c>
      <c r="AB168" s="3">
        <f> 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Sandshrew</t>
        </is>
      </c>
      <c r="B169" s="3" t="inlineStr">
        <is>
          <t>common</t>
        </is>
      </c>
      <c r="C169" s="3" t="n">
        <v>46</v>
      </c>
      <c r="D169" s="3" t="n">
        <v>0.08</v>
      </c>
      <c r="E169" s="3" t="n">
        <v>0.17</v>
      </c>
      <c r="F169" s="3">
        <f>IF(B169:B377="common", 4, IF(B169:B377="uncommon", 3, IF(B169:B377="rare", 0.792892156862745,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O169">
        <f>IF(C169="", 0, 1 / C169)</f>
        <v/>
      </c>
      <c r="P169">
        <f>F169 *O169</f>
        <v/>
      </c>
      <c r="Q169">
        <f> O169 *(D169 - P169)^2</f>
        <v/>
      </c>
      <c r="R169" s="3" t="n"/>
      <c r="S169" s="3" t="n"/>
      <c r="T169" s="3" t="n"/>
      <c r="U169" s="3" t="n"/>
      <c r="AA169">
        <f>E169 *1.88541666666666</f>
        <v/>
      </c>
      <c r="AB169" s="3">
        <f> 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Sandslash</t>
        </is>
      </c>
      <c r="B170" s="3" t="inlineStr">
        <is>
          <t>uncommon</t>
        </is>
      </c>
      <c r="C170" s="3" t="n">
        <v>33</v>
      </c>
      <c r="D170" s="3" t="n">
        <v>0.08</v>
      </c>
      <c r="E170" s="3" t="n">
        <v>0.18</v>
      </c>
      <c r="F170" s="3">
        <f>IF(B170:B378="common", 4, IF(B170:B378="uncommon", 3, IF(B170:B378="rare", 0.792892156862745,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O170">
        <f>IF(C170="", 0, 1 / C170)</f>
        <v/>
      </c>
      <c r="P170">
        <f>F170 *O170</f>
        <v/>
      </c>
      <c r="Q170">
        <f> O170 *(D170 - P170)^2</f>
        <v/>
      </c>
      <c r="R170" s="3" t="n"/>
      <c r="S170" s="3" t="n"/>
      <c r="T170" s="3" t="n"/>
      <c r="U170" s="3" t="n"/>
      <c r="AA170">
        <f>E170 *1.88541666666666</f>
        <v/>
      </c>
      <c r="AB170" s="3">
        <f> 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Scyther</t>
        </is>
      </c>
      <c r="B171" s="3" t="inlineStr">
        <is>
          <t>uncommon</t>
        </is>
      </c>
      <c r="C171" s="3" t="n">
        <v>33</v>
      </c>
      <c r="D171" s="3" t="n">
        <v>0.12</v>
      </c>
      <c r="E171" s="3" t="n">
        <v>2.04</v>
      </c>
      <c r="F171" s="3">
        <f>IF(B171:B379="common", 4, IF(B171:B379="uncommon", 3, IF(B171:B379="rare", 0.792892156862745,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O171">
        <f>IF(C171="", 0, 1 / C171)</f>
        <v/>
      </c>
      <c r="P171">
        <f>F171 *O171</f>
        <v/>
      </c>
      <c r="Q171">
        <f> O171 *(D171 - P171)^2</f>
        <v/>
      </c>
      <c r="R171" s="3" t="n"/>
      <c r="S171" s="3" t="n"/>
      <c r="T171" s="3" t="n"/>
      <c r="U171" s="3" t="n"/>
      <c r="AA171">
        <f>E171 *1.88541666666666</f>
        <v/>
      </c>
      <c r="AB171" s="3">
        <f> 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Seadra</t>
        </is>
      </c>
      <c r="B172" s="3" t="inlineStr">
        <is>
          <t>uncommon</t>
        </is>
      </c>
      <c r="C172" s="3" t="n">
        <v>33</v>
      </c>
      <c r="D172" s="3" t="n">
        <v>0.06</v>
      </c>
      <c r="E172" s="3" t="n">
        <v>0.16</v>
      </c>
      <c r="F172" s="3">
        <f>IF(B172:B380="common", 4, IF(B172:B380="uncommon", 3, IF(B172:B380="rare", 0.792892156862745,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O172">
        <f>IF(C172="", 0, 1 / C172)</f>
        <v/>
      </c>
      <c r="P172">
        <f>F172 *O172</f>
        <v/>
      </c>
      <c r="Q172">
        <f> O172 *(D172 - P172)^2</f>
        <v/>
      </c>
      <c r="R172" s="3" t="n"/>
      <c r="S172" s="3" t="n"/>
      <c r="T172" s="3" t="n"/>
      <c r="U172" s="3" t="n"/>
      <c r="AA172">
        <f>E172 *1.88541666666666</f>
        <v/>
      </c>
      <c r="AB172" s="3">
        <f> 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Seaking</t>
        </is>
      </c>
      <c r="B173" s="3" t="inlineStr">
        <is>
          <t>uncommon</t>
        </is>
      </c>
      <c r="C173" s="3" t="n">
        <v>33</v>
      </c>
      <c r="D173" s="3" t="n">
        <v>0.08</v>
      </c>
      <c r="E173" s="3" t="n">
        <v>0.75</v>
      </c>
      <c r="F173" s="3">
        <f>IF(B173:B381="common", 4, IF(B173:B381="uncommon", 3, IF(B173:B381="rare", 0.792892156862745,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O173">
        <f>IF(C173="", 0, 1 / C173)</f>
        <v/>
      </c>
      <c r="P173">
        <f>F173 *O173</f>
        <v/>
      </c>
      <c r="Q173">
        <f> O173 *(D173 - P173)^2</f>
        <v/>
      </c>
      <c r="R173" s="3" t="n"/>
      <c r="S173" s="3" t="n"/>
      <c r="T173" s="3" t="n"/>
      <c r="U173" s="3" t="n"/>
      <c r="AA173">
        <f>E173 *1.88541666666666</f>
        <v/>
      </c>
      <c r="AB173" s="3">
        <f> 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Seel</t>
        </is>
      </c>
      <c r="B174" s="3" t="inlineStr">
        <is>
          <t>common</t>
        </is>
      </c>
      <c r="C174" s="3" t="n">
        <v>46</v>
      </c>
      <c r="D174" s="3" t="n">
        <v>0.05</v>
      </c>
      <c r="E174" s="3" t="n">
        <v>0.22</v>
      </c>
      <c r="F174" s="3">
        <f>IF(B174:B382="common", 4, IF(B174:B382="uncommon", 3, IF(B174:B382="rare", 0.792892156862745,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O174">
        <f>IF(C174="", 0, 1 / C174)</f>
        <v/>
      </c>
      <c r="P174">
        <f>F174 *O174</f>
        <v/>
      </c>
      <c r="Q174">
        <f> O174 *(D174 - P174)^2</f>
        <v/>
      </c>
      <c r="R174" s="3" t="n"/>
      <c r="S174" s="3" t="n"/>
      <c r="T174" s="3" t="n"/>
      <c r="U174" s="3" t="n"/>
      <c r="AA174">
        <f>E174 *1.88541666666666</f>
        <v/>
      </c>
      <c r="AB174" s="3">
        <f> 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Shellder</t>
        </is>
      </c>
      <c r="B175" s="3" t="inlineStr">
        <is>
          <t>common</t>
        </is>
      </c>
      <c r="C175" s="3" t="n">
        <v>46</v>
      </c>
      <c r="D175" s="3" t="n">
        <v>0.06</v>
      </c>
      <c r="E175" s="3" t="n">
        <v>0.14</v>
      </c>
      <c r="F175" s="3">
        <f>IF(B175:B383="common", 4, IF(B175:B383="uncommon", 3, IF(B175:B383="rare", 0.792892156862745,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O175">
        <f>IF(C175="", 0, 1 / C175)</f>
        <v/>
      </c>
      <c r="P175">
        <f>F175 *O175</f>
        <v/>
      </c>
      <c r="Q175">
        <f> O175 *(D175 - P175)^2</f>
        <v/>
      </c>
      <c r="R175" s="3" t="n"/>
      <c r="S175" s="3" t="n"/>
      <c r="T175" s="3" t="n"/>
      <c r="U175" s="3" t="n"/>
      <c r="AA175">
        <f>E175 *1.88541666666666</f>
        <v/>
      </c>
      <c r="AB175" s="3">
        <f> 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Slowbro</t>
        </is>
      </c>
      <c r="B176" s="3" t="inlineStr">
        <is>
          <t>uncommon</t>
        </is>
      </c>
      <c r="C176" s="3" t="n">
        <v>33</v>
      </c>
      <c r="D176" s="3" t="n">
        <v>0.09</v>
      </c>
      <c r="E176" s="3" t="n">
        <v>0.16</v>
      </c>
      <c r="F176" s="3">
        <f>IF(B176:B384="common", 4, IF(B176:B384="uncommon", 3, IF(B176:B384="rare", 0.792892156862745,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O176">
        <f>IF(C176="", 0, 1 / C176)</f>
        <v/>
      </c>
      <c r="P176">
        <f>F176 *O176</f>
        <v/>
      </c>
      <c r="Q176">
        <f> O176 *(D176 - P176)^2</f>
        <v/>
      </c>
      <c r="R176" s="3" t="n"/>
      <c r="S176" s="3" t="n"/>
      <c r="T176" s="3" t="n"/>
      <c r="U176" s="3" t="n"/>
      <c r="AA176">
        <f>E176 *1.88541666666666</f>
        <v/>
      </c>
      <c r="AB176" s="3">
        <f> 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Slowpoke</t>
        </is>
      </c>
      <c r="B177" s="3" t="inlineStr">
        <is>
          <t>common</t>
        </is>
      </c>
      <c r="C177" s="3" t="n">
        <v>46</v>
      </c>
      <c r="D177" s="3" t="n">
        <v>0.14</v>
      </c>
      <c r="E177" s="3" t="n">
        <v>0.2</v>
      </c>
      <c r="F177" s="3">
        <f>IF(B177:B385="common", 4, IF(B177:B385="uncommon", 3, IF(B177:B385="rare", 0.792892156862745,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O177">
        <f>IF(C177="", 0, 1 / C177)</f>
        <v/>
      </c>
      <c r="P177">
        <f>F177 *O177</f>
        <v/>
      </c>
      <c r="Q177">
        <f> O177 *(D177 - P177)^2</f>
        <v/>
      </c>
      <c r="R177" s="3" t="n"/>
      <c r="S177" s="3" t="n"/>
      <c r="T177" s="3" t="n"/>
      <c r="U177" s="3" t="n"/>
      <c r="AA177">
        <f>E177 *1.88541666666666</f>
        <v/>
      </c>
      <c r="AB177" s="3">
        <f> 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Snorlax</t>
        </is>
      </c>
      <c r="B178" s="3" t="inlineStr">
        <is>
          <t>uncommon</t>
        </is>
      </c>
      <c r="C178" s="3" t="n">
        <v>33</v>
      </c>
      <c r="D178" s="3" t="n">
        <v>0.13</v>
      </c>
      <c r="E178" s="3" t="n">
        <v>1.39</v>
      </c>
      <c r="F178" s="3">
        <f>IF(B178:B386="common", 4, IF(B178:B386="uncommon", 3, IF(B178:B386="rare", 0.792892156862745,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O178">
        <f>IF(C178="", 0, 1 / C178)</f>
        <v/>
      </c>
      <c r="P178">
        <f>F178 *O178</f>
        <v/>
      </c>
      <c r="Q178">
        <f> O178 *(D178 - P178)^2</f>
        <v/>
      </c>
      <c r="R178" s="3" t="n"/>
      <c r="S178" s="3" t="n"/>
      <c r="T178" s="3" t="n"/>
      <c r="U178" s="3" t="n"/>
      <c r="AA178">
        <f>E178 *1.88541666666666</f>
        <v/>
      </c>
      <c r="AB178" s="3">
        <f> 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Spearow</t>
        </is>
      </c>
      <c r="B179" s="3" t="inlineStr">
        <is>
          <t>common</t>
        </is>
      </c>
      <c r="C179" s="3" t="n">
        <v>46</v>
      </c>
      <c r="D179" s="3" t="n">
        <v>0.05</v>
      </c>
      <c r="E179" s="3" t="n">
        <v>0.67</v>
      </c>
      <c r="F179" s="3">
        <f>IF(B179:B387="common", 4, IF(B179:B387="uncommon", 3, IF(B179:B387="rare", 0.792892156862745,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O179">
        <f>IF(C179="", 0, 1 / C179)</f>
        <v/>
      </c>
      <c r="P179">
        <f>F179 *O179</f>
        <v/>
      </c>
      <c r="Q179">
        <f> O179 *(D179 - P179)^2</f>
        <v/>
      </c>
      <c r="R179" s="3" t="n"/>
      <c r="S179" s="3" t="n"/>
      <c r="T179" s="3" t="n"/>
      <c r="U179" s="3" t="n"/>
      <c r="AA179">
        <f>E179 *1.88541666666666</f>
        <v/>
      </c>
      <c r="AB179" s="3">
        <f> 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Squirtle - 007/165</t>
        </is>
      </c>
      <c r="B180" s="3" t="inlineStr">
        <is>
          <t>common</t>
        </is>
      </c>
      <c r="C180" s="3" t="n">
        <v>46</v>
      </c>
      <c r="D180" s="3" t="n">
        <v>0.17</v>
      </c>
      <c r="E180" s="3" t="n">
        <v>0.24</v>
      </c>
      <c r="F180" s="3">
        <f>IF(B180:B388="common", 4, IF(B180:B388="uncommon", 3, IF(B180:B388="rare", 0.792892156862745,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O180">
        <f>IF(C180="", 0, 1 / C180)</f>
        <v/>
      </c>
      <c r="P180">
        <f>F180 *O180</f>
        <v/>
      </c>
      <c r="Q180">
        <f> O180 *(D180 - P180)^2</f>
        <v/>
      </c>
      <c r="R180" s="3" t="n"/>
      <c r="S180" s="3" t="n"/>
      <c r="T180" s="3" t="n"/>
      <c r="U180" s="3" t="n"/>
      <c r="AA180">
        <f>E180 *1.88541666666666</f>
        <v/>
      </c>
      <c r="AB180" s="3">
        <f> 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Squirtle - 170/165</t>
        </is>
      </c>
      <c r="B181" s="3" t="inlineStr">
        <is>
          <t>illustration rare</t>
        </is>
      </c>
      <c r="C181" s="3" t="n">
        <v>188</v>
      </c>
      <c r="D181" s="3" t="n">
        <v>43.83</v>
      </c>
      <c r="E181" s="3" t="inlineStr"/>
      <c r="F181" s="3">
        <f>IF(B181:B389="common", 4, IF(B181:B389="uncommon", 3, IF(B181:B389="rare", 0.792892156862745,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O181">
        <f>IF(C181="", 0, 1 / C181)</f>
        <v/>
      </c>
      <c r="P181">
        <f>F181 *O181</f>
        <v/>
      </c>
      <c r="Q181">
        <f> O181 *(D181 - P181)^2</f>
        <v/>
      </c>
      <c r="R181" s="3" t="n"/>
      <c r="S181" s="3" t="n"/>
      <c r="T181" s="3" t="n"/>
      <c r="U181" s="3" t="n"/>
      <c r="AA181">
        <f>E181 *1.88541666666666</f>
        <v/>
      </c>
      <c r="AB181" s="3">
        <f> 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Starmie</t>
        </is>
      </c>
      <c r="B182" s="3" t="inlineStr">
        <is>
          <t>rare</t>
        </is>
      </c>
      <c r="C182" s="3" t="n">
        <v>21</v>
      </c>
      <c r="D182" s="3" t="n">
        <v>0.16</v>
      </c>
      <c r="E182" s="3" t="n">
        <v>0.61</v>
      </c>
      <c r="F182" s="3">
        <f>IF(B182:B390="common", 4, IF(B182:B390="uncommon", 3, IF(B182:B390="rare", 0.792892156862745,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O182">
        <f>IF(C182="", 0, 1 / C182)</f>
        <v/>
      </c>
      <c r="P182">
        <f>F182 *O182</f>
        <v/>
      </c>
      <c r="Q182">
        <f> O182 *(D182 - P182)^2</f>
        <v/>
      </c>
      <c r="R182" s="3" t="n"/>
      <c r="S182" s="3" t="n"/>
      <c r="T182" s="3" t="n"/>
      <c r="U182" s="3" t="n"/>
      <c r="AA182">
        <f>E182 *1.88541666666666</f>
        <v/>
      </c>
      <c r="AB182" s="3">
        <f> 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Staryu</t>
        </is>
      </c>
      <c r="B183" s="3" t="inlineStr">
        <is>
          <t>common</t>
        </is>
      </c>
      <c r="C183" s="3" t="n">
        <v>46</v>
      </c>
      <c r="D183" s="3" t="n">
        <v>0.07000000000000001</v>
      </c>
      <c r="E183" s="3" t="n">
        <v>0.15</v>
      </c>
      <c r="F183" s="3">
        <f>IF(B183:B391="common", 4, IF(B183:B391="uncommon", 3, IF(B183:B391="rare", 0.792892156862745,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O183">
        <f>IF(C183="", 0, 1 / C183)</f>
        <v/>
      </c>
      <c r="P183">
        <f>F183 *O183</f>
        <v/>
      </c>
      <c r="Q183">
        <f> O183 *(D183 - P183)^2</f>
        <v/>
      </c>
      <c r="R183" s="3" t="n"/>
      <c r="S183" s="3" t="n"/>
      <c r="T183" s="3" t="n"/>
      <c r="U183" s="3" t="n"/>
      <c r="AA183">
        <f>E183 *1.88541666666666</f>
        <v/>
      </c>
      <c r="AB183" s="3">
        <f> 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Switch - 206/165</t>
        </is>
      </c>
      <c r="B184" s="3" t="inlineStr">
        <is>
          <t>hyper rare</t>
        </is>
      </c>
      <c r="C184" s="3" t="n">
        <v>154</v>
      </c>
      <c r="D184" s="3" t="n">
        <v>2.64</v>
      </c>
      <c r="E184" s="3" t="inlineStr"/>
      <c r="F184" s="3">
        <f>IF(B184:B392="common", 4, IF(B184:B392="uncommon", 3, IF(B184:B392="rare", 0.792892156862745,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O184">
        <f>IF(C184="", 0, 1 / C184)</f>
        <v/>
      </c>
      <c r="P184">
        <f>F184 *O184</f>
        <v/>
      </c>
      <c r="Q184">
        <f> O184 *(D184 - P184)^2</f>
        <v/>
      </c>
      <c r="R184" s="3" t="n"/>
      <c r="S184" s="3" t="n"/>
      <c r="T184" s="3" t="n"/>
      <c r="U184" s="3" t="n"/>
      <c r="AA184">
        <f>E184 *1.88541666666666</f>
        <v/>
      </c>
      <c r="AB184" s="3">
        <f> 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Tangela - 114/165</t>
        </is>
      </c>
      <c r="B185" s="3" t="inlineStr">
        <is>
          <t>common</t>
        </is>
      </c>
      <c r="C185" s="3" t="n">
        <v>46</v>
      </c>
      <c r="D185" s="3" t="n">
        <v>0.07000000000000001</v>
      </c>
      <c r="E185" s="3" t="n">
        <v>0.16</v>
      </c>
      <c r="F185" s="3">
        <f>IF(B185:B393="common", 4, IF(B185:B393="uncommon", 3, IF(B185:B393="rare", 0.792892156862745,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O185">
        <f>IF(C185="", 0, 1 / C185)</f>
        <v/>
      </c>
      <c r="P185">
        <f>F185 *O185</f>
        <v/>
      </c>
      <c r="Q185">
        <f> O185 *(D185 - P185)^2</f>
        <v/>
      </c>
      <c r="R185" s="3" t="n"/>
      <c r="S185" s="3" t="n"/>
      <c r="T185" s="3" t="n"/>
      <c r="U185" s="3" t="n"/>
      <c r="AA185">
        <f>E185 *1.88541666666666</f>
        <v/>
      </c>
      <c r="AB185" s="3">
        <f> 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Tangela - 178/165</t>
        </is>
      </c>
      <c r="B186" s="3" t="inlineStr">
        <is>
          <t>illustration rare</t>
        </is>
      </c>
      <c r="C186" s="3" t="n">
        <v>188</v>
      </c>
      <c r="D186" s="3" t="n">
        <v>6.92</v>
      </c>
      <c r="E186" s="3" t="inlineStr"/>
      <c r="F186" s="3">
        <f>IF(B186:B394="common", 4, IF(B186:B394="uncommon", 3, IF(B186:B394="rare", 0.792892156862745,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O186">
        <f>IF(C186="", 0, 1 / C186)</f>
        <v/>
      </c>
      <c r="P186">
        <f>F186 *O186</f>
        <v/>
      </c>
      <c r="Q186">
        <f> O186 *(D186 - P186)^2</f>
        <v/>
      </c>
      <c r="R186" s="3" t="n"/>
      <c r="S186" s="3" t="n"/>
      <c r="T186" s="3" t="n"/>
      <c r="U186" s="3" t="n"/>
      <c r="AA186">
        <f>E186 *1.88541666666666</f>
        <v/>
      </c>
      <c r="AB186" s="3">
        <f> 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Tauros</t>
        </is>
      </c>
      <c r="B187" s="3" t="inlineStr">
        <is>
          <t>uncommon</t>
        </is>
      </c>
      <c r="C187" s="3" t="n">
        <v>33</v>
      </c>
      <c r="D187" s="3" t="n">
        <v>0.1</v>
      </c>
      <c r="E187" s="3" t="n">
        <v>0.6</v>
      </c>
      <c r="F187" s="3">
        <f>IF(B187:B395="common", 4, IF(B187:B395="uncommon", 3, IF(B187:B395="rare", 0.792892156862745,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O187">
        <f>IF(C187="", 0, 1 / C187)</f>
        <v/>
      </c>
      <c r="P187">
        <f>F187 *O187</f>
        <v/>
      </c>
      <c r="Q187">
        <f> O187 *(D187 - P187)^2</f>
        <v/>
      </c>
      <c r="R187" s="3" t="n"/>
      <c r="S187" s="3" t="n"/>
      <c r="T187" s="3" t="n"/>
      <c r="U187" s="3" t="n"/>
      <c r="AA187">
        <f>E187 *1.88541666666666</f>
        <v/>
      </c>
      <c r="AB187" s="3">
        <f> 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Tentacool</t>
        </is>
      </c>
      <c r="B188" s="3" t="inlineStr">
        <is>
          <t>common</t>
        </is>
      </c>
      <c r="C188" s="3" t="n">
        <v>46</v>
      </c>
      <c r="D188" s="3" t="n">
        <v>0.04</v>
      </c>
      <c r="E188" s="3" t="n">
        <v>0.19</v>
      </c>
      <c r="F188" s="3">
        <f>IF(B188:B396="common", 4, IF(B188:B396="uncommon", 3, IF(B188:B396="rare", 0.792892156862745,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O188">
        <f>IF(C188="", 0, 1 / C188)</f>
        <v/>
      </c>
      <c r="P188">
        <f>F188 *O188</f>
        <v/>
      </c>
      <c r="Q188">
        <f> O188 *(D188 - P188)^2</f>
        <v/>
      </c>
      <c r="R188" s="3" t="n"/>
      <c r="S188" s="3" t="n"/>
      <c r="T188" s="3" t="n"/>
      <c r="U188" s="3" t="n"/>
      <c r="AA188">
        <f>E188 *1.88541666666666</f>
        <v/>
      </c>
      <c r="AB188" s="3">
        <f> 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Tentacruel</t>
        </is>
      </c>
      <c r="B189" s="3" t="inlineStr">
        <is>
          <t>uncommon</t>
        </is>
      </c>
      <c r="C189" s="3" t="n">
        <v>33</v>
      </c>
      <c r="D189" s="3" t="n">
        <v>0.08</v>
      </c>
      <c r="E189" s="3" t="n">
        <v>0.16</v>
      </c>
      <c r="F189" s="3">
        <f>IF(B189:B397="common", 4, IF(B189:B397="uncommon", 3, IF(B189:B397="rare", 0.792892156862745,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O189">
        <f>IF(C189="", 0, 1 / C189)</f>
        <v/>
      </c>
      <c r="P189">
        <f>F189 *O189</f>
        <v/>
      </c>
      <c r="Q189">
        <f> O189 *(D189 - P189)^2</f>
        <v/>
      </c>
      <c r="R189" s="3" t="n"/>
      <c r="S189" s="3" t="n"/>
      <c r="T189" s="3" t="n"/>
      <c r="U189" s="3" t="n"/>
      <c r="AA189">
        <f>E189 *1.88541666666666</f>
        <v/>
      </c>
      <c r="AB189" s="3">
        <f> 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Vaporeon</t>
        </is>
      </c>
      <c r="B190" s="3" t="inlineStr">
        <is>
          <t>rare</t>
        </is>
      </c>
      <c r="C190" s="3" t="n">
        <v>21</v>
      </c>
      <c r="D190" s="3" t="n">
        <v>0.26</v>
      </c>
      <c r="E190" s="3" t="n">
        <v>1.12</v>
      </c>
      <c r="F190" s="3">
        <f>IF(B190:B398="common", 4, IF(B190:B398="uncommon", 3, IF(B190:B398="rare", 0.792892156862745,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O190">
        <f>IF(C190="", 0, 1 / C190)</f>
        <v/>
      </c>
      <c r="P190">
        <f>F190 *O190</f>
        <v/>
      </c>
      <c r="Q190">
        <f> O190 *(D190 - P190)^2</f>
        <v/>
      </c>
      <c r="R190" s="3" t="n"/>
      <c r="S190" s="3" t="n"/>
      <c r="T190" s="3" t="n"/>
      <c r="U190" s="3" t="n"/>
      <c r="AA190">
        <f>E190 *1.88541666666666</f>
        <v/>
      </c>
      <c r="AB190" s="3">
        <f> 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Venomoth</t>
        </is>
      </c>
      <c r="B191" s="3" t="inlineStr">
        <is>
          <t>uncommon</t>
        </is>
      </c>
      <c r="C191" s="3" t="n">
        <v>33</v>
      </c>
      <c r="D191" s="3" t="n">
        <v>0.06</v>
      </c>
      <c r="E191" s="3" t="n">
        <v>0.17</v>
      </c>
      <c r="F191" s="3">
        <f>IF(B191:B399="common", 4, IF(B191:B399="uncommon", 3, IF(B191:B399="rare", 0.792892156862745,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O191">
        <f>IF(C191="", 0, 1 / C191)</f>
        <v/>
      </c>
      <c r="P191">
        <f>F191 *O191</f>
        <v/>
      </c>
      <c r="Q191">
        <f> O191 *(D191 - P191)^2</f>
        <v/>
      </c>
      <c r="R191" s="3" t="n"/>
      <c r="S191" s="3" t="n"/>
      <c r="T191" s="3" t="n"/>
      <c r="U191" s="3" t="n"/>
      <c r="AA191">
        <f>E191 *1.88541666666666</f>
        <v/>
      </c>
      <c r="AB191" s="3">
        <f> 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Venonat</t>
        </is>
      </c>
      <c r="B192" s="3" t="inlineStr">
        <is>
          <t>common</t>
        </is>
      </c>
      <c r="C192" s="3" t="n">
        <v>46</v>
      </c>
      <c r="D192" s="3" t="n">
        <v>0.05</v>
      </c>
      <c r="E192" s="3" t="n">
        <v>0.16</v>
      </c>
      <c r="F192" s="3">
        <f>IF(B192:B400="common", 4, IF(B192:B400="uncommon", 3, IF(B192:B400="rare", 0.792892156862745,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O192">
        <f>IF(C192="", 0, 1 / C192)</f>
        <v/>
      </c>
      <c r="P192">
        <f>F192 *O192</f>
        <v/>
      </c>
      <c r="Q192">
        <f> O192 *(D192 - P192)^2</f>
        <v/>
      </c>
      <c r="R192" s="3" t="n"/>
      <c r="S192" s="3" t="n"/>
      <c r="T192" s="3" t="n"/>
      <c r="U192" s="3" t="n"/>
      <c r="AA192">
        <f>E192 *1.88541666666666</f>
        <v/>
      </c>
      <c r="AB192" s="3">
        <f> 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Venusaur ex - 003/165</t>
        </is>
      </c>
      <c r="B193" s="3" t="inlineStr">
        <is>
          <t>double rare</t>
        </is>
      </c>
      <c r="C193" s="3" t="n">
        <v>90</v>
      </c>
      <c r="D193" s="3" t="n">
        <v>0.9</v>
      </c>
      <c r="E193" s="3" t="inlineStr"/>
      <c r="F193" s="3">
        <f>IF(B193:B401="common", 4, IF(B193:B401="uncommon", 3, IF(B193:B401="rare", 0.792892156862745,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O193">
        <f>IF(C193="", 0, 1 / C193)</f>
        <v/>
      </c>
      <c r="P193">
        <f>F193 *O193</f>
        <v/>
      </c>
      <c r="Q193">
        <f> O193 *(D193 - P193)^2</f>
        <v/>
      </c>
      <c r="R193" s="3" t="n"/>
      <c r="S193" s="3" t="n"/>
      <c r="T193" s="3" t="n"/>
      <c r="U193" s="3" t="n"/>
      <c r="AA193">
        <f>E193 *1.88541666666666</f>
        <v/>
      </c>
      <c r="AB193" s="3">
        <f> 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Venusaur ex - 182/165</t>
        </is>
      </c>
      <c r="B194" s="3" t="inlineStr">
        <is>
          <t>ultra rare</t>
        </is>
      </c>
      <c r="C194" s="3" t="n">
        <v>248</v>
      </c>
      <c r="D194" s="3" t="n">
        <v>10.12</v>
      </c>
      <c r="E194" s="3" t="inlineStr"/>
      <c r="F194" s="3">
        <f>IF(B194:B402="common", 4, IF(B194:B402="uncommon", 3, IF(B194:B402="rare", 0.792892156862745,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O194">
        <f>IF(C194="", 0, 1 / C194)</f>
        <v/>
      </c>
      <c r="P194">
        <f>F194 *O194</f>
        <v/>
      </c>
      <c r="Q194">
        <f> O194 *(D194 - P194)^2</f>
        <v/>
      </c>
      <c r="R194" s="3" t="n"/>
      <c r="S194" s="3" t="n"/>
      <c r="T194" s="3" t="n"/>
      <c r="U194" s="3" t="n"/>
      <c r="AA194">
        <f>E194 *1.88541666666666</f>
        <v/>
      </c>
      <c r="AB194" s="3">
        <f> 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Venusaur ex - 198/165</t>
        </is>
      </c>
      <c r="B195" s="3" t="inlineStr">
        <is>
          <t>special illustration rare</t>
        </is>
      </c>
      <c r="C195" s="3" t="n">
        <v>225</v>
      </c>
      <c r="D195" s="3" t="n">
        <v>62.73</v>
      </c>
      <c r="E195" s="3" t="inlineStr"/>
      <c r="F195" s="3">
        <f>IF(B195:B403="common", 4, IF(B195:B403="uncommon", 3, IF(B195:B403="rare", 0.792892156862745,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O195">
        <f>IF(C195="", 0, 1 / C195)</f>
        <v/>
      </c>
      <c r="P195">
        <f>F195 *O195</f>
        <v/>
      </c>
      <c r="Q195">
        <f> O195 *(D195 - P195)^2</f>
        <v/>
      </c>
      <c r="R195" s="3" t="n"/>
      <c r="S195" s="3" t="n"/>
      <c r="T195" s="3" t="n"/>
      <c r="U195" s="3" t="n"/>
      <c r="AA195">
        <f>E195 *1.88541666666666</f>
        <v/>
      </c>
      <c r="AB195" s="3">
        <f> 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Victreebel</t>
        </is>
      </c>
      <c r="B196" s="3" t="inlineStr">
        <is>
          <t>uncommon</t>
        </is>
      </c>
      <c r="C196" s="3" t="n">
        <v>33</v>
      </c>
      <c r="D196" s="3" t="n">
        <v>0.07000000000000001</v>
      </c>
      <c r="E196" s="3" t="n">
        <v>0.2</v>
      </c>
      <c r="F196" s="3">
        <f>IF(B196:B404="common", 4, IF(B196:B404="uncommon", 3, IF(B196:B404="rare", 0.792892156862745,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O196">
        <f>IF(C196="", 0, 1 / C196)</f>
        <v/>
      </c>
      <c r="P196">
        <f>F196 *O196</f>
        <v/>
      </c>
      <c r="Q196">
        <f> O196 *(D196 - P196)^2</f>
        <v/>
      </c>
      <c r="R196" s="3" t="n"/>
      <c r="S196" s="3" t="n"/>
      <c r="T196" s="3" t="n"/>
      <c r="U196" s="3" t="n"/>
      <c r="AA196">
        <f>E196 *1.88541666666666</f>
        <v/>
      </c>
      <c r="AB196" s="3">
        <f> 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Vileplume</t>
        </is>
      </c>
      <c r="B197" s="3" t="inlineStr">
        <is>
          <t>rare</t>
        </is>
      </c>
      <c r="C197" s="3" t="n">
        <v>21</v>
      </c>
      <c r="D197" s="3" t="n">
        <v>0.21</v>
      </c>
      <c r="E197" s="3" t="n">
        <v>0.76</v>
      </c>
      <c r="F197" s="3">
        <f>IF(B197:B405="common", 4, IF(B197:B405="uncommon", 3, IF(B197:B405="rare", 0.792892156862745,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O197">
        <f>IF(C197="", 0, 1 / C197)</f>
        <v/>
      </c>
      <c r="P197">
        <f>F197 *O197</f>
        <v/>
      </c>
      <c r="Q197">
        <f> O197 *(D197 - P197)^2</f>
        <v/>
      </c>
      <c r="R197" s="3" t="n"/>
      <c r="S197" s="3" t="n"/>
      <c r="T197" s="3" t="n"/>
      <c r="U197" s="3" t="n"/>
      <c r="AA197">
        <f>E197 *1.88541666666666</f>
        <v/>
      </c>
      <c r="AB197" s="3">
        <f> 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Voltorb</t>
        </is>
      </c>
      <c r="B198" s="3" t="inlineStr">
        <is>
          <t>common</t>
        </is>
      </c>
      <c r="C198" s="3" t="n">
        <v>46</v>
      </c>
      <c r="D198" s="3" t="n">
        <v>0.07000000000000001</v>
      </c>
      <c r="E198" s="3" t="n">
        <v>0.18</v>
      </c>
      <c r="F198" s="3">
        <f>IF(B198:B406="common", 4, IF(B198:B406="uncommon", 3, IF(B198:B406="rare", 0.792892156862745,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O198">
        <f>IF(C198="", 0, 1 / C198)</f>
        <v/>
      </c>
      <c r="P198">
        <f>F198 *O198</f>
        <v/>
      </c>
      <c r="Q198">
        <f> O198 *(D198 - P198)^2</f>
        <v/>
      </c>
      <c r="R198" s="3" t="n"/>
      <c r="S198" s="3" t="n"/>
      <c r="T198" s="3" t="n"/>
      <c r="U198" s="3" t="n"/>
      <c r="AA198">
        <f>E198 *1.88541666666666</f>
        <v/>
      </c>
      <c r="AB198" s="3">
        <f> 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Vulpix</t>
        </is>
      </c>
      <c r="B199" s="3" t="inlineStr">
        <is>
          <t>common</t>
        </is>
      </c>
      <c r="C199" s="3" t="n">
        <v>46</v>
      </c>
      <c r="D199" s="3" t="n">
        <v>0.08</v>
      </c>
      <c r="E199" s="3" t="n">
        <v>0.18</v>
      </c>
      <c r="F199" s="3">
        <f>IF(B199:B407="common", 4, IF(B199:B407="uncommon", 3, IF(B199:B407="rare", 0.792892156862745,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O199">
        <f>IF(C199="", 0, 1 / C199)</f>
        <v/>
      </c>
      <c r="P199">
        <f>F199 *O199</f>
        <v/>
      </c>
      <c r="Q199">
        <f> O199 *(D199 - P199)^2</f>
        <v/>
      </c>
      <c r="R199" s="3" t="n"/>
      <c r="S199" s="3" t="n"/>
      <c r="T199" s="3" t="n"/>
      <c r="U199" s="3" t="n"/>
      <c r="AA199">
        <f>E199 *1.88541666666666</f>
        <v/>
      </c>
      <c r="AB199" s="3">
        <f> 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Wartortle - 008/165</t>
        </is>
      </c>
      <c r="B200" s="3" t="inlineStr">
        <is>
          <t>uncommon</t>
        </is>
      </c>
      <c r="C200" s="3" t="n">
        <v>33</v>
      </c>
      <c r="D200" s="3" t="n">
        <v>0.13</v>
      </c>
      <c r="E200" s="3" t="n">
        <v>0.25</v>
      </c>
      <c r="F200" s="3">
        <f>IF(B200:B408="common", 4, IF(B200:B408="uncommon", 3, IF(B200:B408="rare", 0.792892156862745,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O200">
        <f>IF(C200="", 0, 1 / C200)</f>
        <v/>
      </c>
      <c r="P200">
        <f>F200 *O200</f>
        <v/>
      </c>
      <c r="Q200">
        <f> O200 *(D200 - P200)^2</f>
        <v/>
      </c>
      <c r="R200" s="3" t="n"/>
      <c r="S200" s="3" t="n"/>
      <c r="T200" s="3" t="n"/>
      <c r="U200" s="3" t="n"/>
      <c r="AA200">
        <f>E200 *1.88541666666666</f>
        <v/>
      </c>
      <c r="AB200" s="3">
        <f> 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Wartortle - 171/165</t>
        </is>
      </c>
      <c r="B201" s="3" t="inlineStr">
        <is>
          <t>illustration rare</t>
        </is>
      </c>
      <c r="C201" s="3" t="n">
        <v>188</v>
      </c>
      <c r="D201" s="3" t="n">
        <v>27.4</v>
      </c>
      <c r="E201" s="3" t="inlineStr"/>
      <c r="F201" s="3">
        <f>IF(B201:B409="common", 4, IF(B201:B409="uncommon", 3, IF(B201:B409="rare", 0.792892156862745,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O201">
        <f>IF(C201="", 0, 1 / C201)</f>
        <v/>
      </c>
      <c r="P201">
        <f>F201 *O201</f>
        <v/>
      </c>
      <c r="Q201">
        <f> O201 *(D201 - P201)^2</f>
        <v/>
      </c>
      <c r="R201" s="3" t="n"/>
      <c r="S201" s="3" t="n"/>
      <c r="T201" s="3" t="n"/>
      <c r="U201" s="3" t="n"/>
      <c r="AA201">
        <f>E201 *1.88541666666666</f>
        <v/>
      </c>
      <c r="AB201" s="3">
        <f> 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Weedle</t>
        </is>
      </c>
      <c r="B202" s="3" t="inlineStr">
        <is>
          <t>common</t>
        </is>
      </c>
      <c r="C202" s="3" t="n">
        <v>46</v>
      </c>
      <c r="D202" s="3" t="n">
        <v>0.06</v>
      </c>
      <c r="E202" s="3" t="n">
        <v>0.19</v>
      </c>
      <c r="F202" s="3">
        <f>IF(B202:B410="common", 4, IF(B202:B410="uncommon", 3, IF(B202:B410="rare", 0.792892156862745,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O202">
        <f>IF(C202="", 0, 1 / C202)</f>
        <v/>
      </c>
      <c r="P202">
        <f>F202 *O202</f>
        <v/>
      </c>
      <c r="Q202">
        <f> O202 *(D202 - P202)^2</f>
        <v/>
      </c>
      <c r="R202" s="3" t="n"/>
      <c r="S202" s="3" t="n"/>
      <c r="T202" s="3" t="n"/>
      <c r="U202" s="3" t="n"/>
      <c r="AA202">
        <f>E202 *1.88541666666666</f>
        <v/>
      </c>
      <c r="AB202" s="3">
        <f> 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Weepinbell</t>
        </is>
      </c>
      <c r="B203" s="3" t="inlineStr">
        <is>
          <t>common</t>
        </is>
      </c>
      <c r="C203" s="3" t="n">
        <v>46</v>
      </c>
      <c r="D203" s="3" t="n">
        <v>0.13</v>
      </c>
      <c r="E203" s="3" t="n">
        <v>1.52</v>
      </c>
      <c r="F203" s="3">
        <f>IF(B203:B411="common", 4, IF(B203:B411="uncommon", 3, IF(B203:B411="rare", 0.792892156862745,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O203">
        <f>IF(C203="", 0, 1 / C203)</f>
        <v/>
      </c>
      <c r="P203">
        <f>F203 *O203</f>
        <v/>
      </c>
      <c r="Q203">
        <f> O203 *(D203 - P203)^2</f>
        <v/>
      </c>
      <c r="R203" s="3" t="n"/>
      <c r="S203" s="3" t="n"/>
      <c r="T203" s="3" t="n"/>
      <c r="U203" s="3" t="n"/>
      <c r="AA203">
        <f>E203 *1.88541666666666</f>
        <v/>
      </c>
      <c r="AB203" s="3">
        <f> 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Weezing</t>
        </is>
      </c>
      <c r="B204" s="3" t="inlineStr">
        <is>
          <t>rare</t>
        </is>
      </c>
      <c r="C204" s="3" t="n">
        <v>21</v>
      </c>
      <c r="D204" s="3" t="n">
        <v>0.16</v>
      </c>
      <c r="E204" s="3" t="n">
        <v>0.62</v>
      </c>
      <c r="F204" s="3">
        <f>IF(B204:B412="common", 4, IF(B204:B412="uncommon", 3, IF(B204:B412="rare", 0.792892156862745,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O204">
        <f>IF(C204="", 0, 1 / C204)</f>
        <v/>
      </c>
      <c r="P204">
        <f>F204 *O204</f>
        <v/>
      </c>
      <c r="Q204">
        <f> O204 *(D204 - P204)^2</f>
        <v/>
      </c>
      <c r="R204" s="3" t="n"/>
      <c r="S204" s="3" t="n"/>
      <c r="T204" s="3" t="n"/>
      <c r="U204" s="3" t="n"/>
      <c r="AA204">
        <f>E204 *1.88541666666666</f>
        <v/>
      </c>
      <c r="AB204" s="3">
        <f> 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Wigglytuff ex - 040/165</t>
        </is>
      </c>
      <c r="B205" s="3" t="inlineStr">
        <is>
          <t>double rare</t>
        </is>
      </c>
      <c r="C205" s="3" t="n">
        <v>90</v>
      </c>
      <c r="D205" s="3" t="n">
        <v>0.9399999999999999</v>
      </c>
      <c r="E205" s="3" t="inlineStr"/>
      <c r="F205" s="3">
        <f>IF(B205:B413="common", 4, IF(B205:B413="uncommon", 3, IF(B205:B413="rare", 0.792892156862745,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O205">
        <f>IF(C205="", 0, 1 / C205)</f>
        <v/>
      </c>
      <c r="P205">
        <f>F205 *O205</f>
        <v/>
      </c>
      <c r="Q205">
        <f> O205 *(D205 - P205)^2</f>
        <v/>
      </c>
      <c r="R205" s="3" t="n"/>
      <c r="S205" s="3" t="n"/>
      <c r="T205" s="3" t="n"/>
      <c r="U205" s="3" t="n"/>
      <c r="AA205">
        <f>E205 *1.88541666666666</f>
        <v/>
      </c>
      <c r="AB205" s="3">
        <f> 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Wigglytuff ex - 187/165</t>
        </is>
      </c>
      <c r="B206" s="3" t="inlineStr">
        <is>
          <t>ultra rare</t>
        </is>
      </c>
      <c r="C206" s="3" t="n">
        <v>248</v>
      </c>
      <c r="D206" s="3" t="n">
        <v>6.64</v>
      </c>
      <c r="E206" s="3" t="inlineStr"/>
      <c r="F206" s="3">
        <f>IF(B206:B414="common", 4, IF(B206:B414="uncommon", 3, IF(B206:B414="rare", 0.792892156862745,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O206">
        <f>IF(C206="", 0, 1 / C206)</f>
        <v/>
      </c>
      <c r="P206">
        <f>F206 *O206</f>
        <v/>
      </c>
      <c r="Q206">
        <f> O206 *(D206 - P206)^2</f>
        <v/>
      </c>
      <c r="R206" s="3" t="n"/>
      <c r="S206" s="3" t="n"/>
      <c r="T206" s="3" t="n"/>
      <c r="U206" s="3" t="n"/>
      <c r="AA206">
        <f>E206 *1.88541666666666</f>
        <v/>
      </c>
      <c r="AB206" s="3">
        <f> 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Zapdos ex - 145/165</t>
        </is>
      </c>
      <c r="B207" s="3" t="inlineStr">
        <is>
          <t>double rare</t>
        </is>
      </c>
      <c r="C207" s="3" t="n">
        <v>90</v>
      </c>
      <c r="D207" s="3" t="n">
        <v>1.02</v>
      </c>
      <c r="E207" s="3" t="inlineStr"/>
      <c r="F207" s="3">
        <f>IF(B207:B415="common", 4, IF(B207:B415="uncommon", 3, IF(B207:B415="rare", 0.792892156862745,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O207">
        <f>IF(C207="", 0, 1 / C207)</f>
        <v/>
      </c>
      <c r="P207">
        <f>F207 *O207</f>
        <v/>
      </c>
      <c r="Q207">
        <f> O207 *(D207 - P207)^2</f>
        <v/>
      </c>
      <c r="R207" s="3" t="n"/>
      <c r="S207" s="3" t="n"/>
      <c r="T207" s="3" t="n"/>
      <c r="U207" s="3" t="n"/>
      <c r="AA207">
        <f>E207 *1.88541666666666</f>
        <v/>
      </c>
      <c r="AB207" s="3">
        <f> 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Zapdos ex - 192/165</t>
        </is>
      </c>
      <c r="B208" s="3" t="inlineStr">
        <is>
          <t>ultra rare</t>
        </is>
      </c>
      <c r="C208" s="3" t="n">
        <v>248</v>
      </c>
      <c r="D208" s="3" t="n">
        <v>8</v>
      </c>
      <c r="E208" s="3" t="inlineStr"/>
      <c r="F208" s="3">
        <f>IF(B208:B416="common", 4, IF(B208:B416="uncommon", 3, IF(B208:B416="rare", 0.792892156862745,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O208">
        <f>IF(C208="", 0, 1 / C208)</f>
        <v/>
      </c>
      <c r="P208">
        <f>F208 *O208</f>
        <v/>
      </c>
      <c r="Q208">
        <f> O208 *(D208 - P208)^2</f>
        <v/>
      </c>
      <c r="R208" s="3" t="n"/>
      <c r="S208" s="3" t="n"/>
      <c r="T208" s="3" t="n"/>
      <c r="U208" s="3" t="n"/>
      <c r="AA208">
        <f>E208 *1.88541666666666</f>
        <v/>
      </c>
      <c r="AB208" s="3">
        <f> 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Zapdos ex - 202/165</t>
        </is>
      </c>
      <c r="B209" s="3" t="inlineStr">
        <is>
          <t>special illustration rare</t>
        </is>
      </c>
      <c r="C209" s="3" t="n">
        <v>225</v>
      </c>
      <c r="D209" s="3" t="n">
        <v>52.52</v>
      </c>
      <c r="E209" s="3" t="inlineStr"/>
      <c r="F209" s="3">
        <f>IF(B209:B417="common", 4, IF(B209:B417="uncommon", 3, IF(B209:B417="rare", 0.792892156862745,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O209">
        <f>IF(C209="", 0, 1 / C209)</f>
        <v/>
      </c>
      <c r="P209">
        <f>F209 *O209</f>
        <v/>
      </c>
      <c r="Q209">
        <f> O209 *(D209 - P209)^2</f>
        <v/>
      </c>
      <c r="R209" s="3" t="n"/>
      <c r="S209" s="3" t="n"/>
      <c r="T209" s="3" t="n"/>
      <c r="U209" s="3" t="n"/>
      <c r="AA209">
        <f>E209 *1.88541666666666</f>
        <v/>
      </c>
      <c r="AB209" s="3">
        <f> 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inlineStr">
        <is>
          <t>Zubat</t>
        </is>
      </c>
      <c r="B210" s="3" t="inlineStr">
        <is>
          <t>common</t>
        </is>
      </c>
      <c r="C210" s="3" t="n">
        <v>46</v>
      </c>
      <c r="D210" s="3" t="n">
        <v>0.05</v>
      </c>
      <c r="E210" s="3" t="n">
        <v>0.17</v>
      </c>
      <c r="F210" s="3">
        <f>IF(B210:B418="common", 4, IF(B210:B418="uncommon", 3, IF(B210:B418="rare", 0.792892156862745,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O210">
        <f>IF(C210="", 0, 1 / C210)</f>
        <v/>
      </c>
      <c r="P210">
        <f>F210 *O210</f>
        <v/>
      </c>
      <c r="Q210">
        <f> O210 *(D210 - P210)^2</f>
        <v/>
      </c>
      <c r="R210" s="3" t="n"/>
      <c r="S210" s="3" t="n"/>
      <c r="T210" s="3" t="n"/>
      <c r="U210" s="3" t="n"/>
      <c r="AA210">
        <f>E210 *1.88541666666666</f>
        <v/>
      </c>
      <c r="AB210" s="3">
        <f> 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n"/>
      <c r="B211" s="3" t="n"/>
      <c r="C211" s="3" t="n"/>
      <c r="D211" s="3" t="n"/>
      <c r="E211" s="3" t="n"/>
      <c r="F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M212" s="3" t="n"/>
      <c r="N212" s="3" t="n"/>
      <c r="R212" s="3" t="n"/>
      <c r="S212" s="3" t="n"/>
      <c r="T212" s="3" t="n"/>
      <c r="U212" s="3" t="n"/>
    </row>
    <row r="213">
      <c r="A213" s="3" t="n"/>
      <c r="B213" s="3" t="n"/>
      <c r="C213" s="3" t="n"/>
      <c r="D213" s="3" t="n"/>
      <c r="E213" s="3" t="n"/>
      <c r="F213" s="3" t="n"/>
    </row>
    <row r="214">
      <c r="A214" s="3" t="n"/>
      <c r="B214" s="3" t="n"/>
      <c r="C214" s="3" t="n"/>
      <c r="D214" s="3" t="n"/>
      <c r="E214" s="3" t="n"/>
      <c r="F214" s="3" t="n"/>
    </row>
    <row r="215">
      <c r="A215" s="3" t="n"/>
      <c r="B215" s="3" t="n"/>
      <c r="C215" s="3" t="n"/>
      <c r="D215" s="3" t="n"/>
      <c r="E215" s="3" t="n"/>
      <c r="F215" s="3" t="n"/>
    </row>
    <row r="216">
      <c r="A216" s="3" t="n"/>
      <c r="B216" s="3" t="n"/>
      <c r="C216" s="3" t="n"/>
      <c r="D216" s="3" t="n"/>
      <c r="E216" s="3" t="n"/>
      <c r="F216" s="3" t="n"/>
    </row>
    <row r="217">
      <c r="A217" s="3" t="n"/>
      <c r="B217" s="3" t="n"/>
      <c r="C217" s="3" t="n"/>
      <c r="D217" s="3" t="n"/>
      <c r="E217" s="3" t="n"/>
      <c r="F217" s="3" t="n"/>
    </row>
    <row r="218">
      <c r="A218" s="3" t="n"/>
      <c r="B218" s="3" t="n"/>
      <c r="C218" s="3" t="n"/>
      <c r="D218" s="3" t="n"/>
      <c r="E218" s="3" t="n"/>
      <c r="F218" s="3" t="n"/>
    </row>
    <row r="219">
      <c r="A219" s="3" t="n"/>
      <c r="B219" s="3" t="n"/>
      <c r="C219" s="3" t="n"/>
      <c r="D219" s="3" t="n"/>
      <c r="E219" s="3" t="n"/>
      <c r="F219" s="3" t="n"/>
    </row>
    <row r="220">
      <c r="A220" s="3" t="n"/>
      <c r="B220" s="3" t="n"/>
      <c r="C220" s="3" t="n"/>
      <c r="D220" s="3" t="n"/>
      <c r="E220" s="3" t="n"/>
      <c r="F220" s="3" t="n"/>
    </row>
    <row r="221">
      <c r="A221" s="3" t="n"/>
      <c r="B221" s="3" t="n"/>
      <c r="C221" s="3" t="n"/>
      <c r="D221" s="3" t="n"/>
      <c r="E221" s="3" t="n"/>
      <c r="F221" s="3" t="n"/>
    </row>
    <row r="222">
      <c r="A222" s="3" t="n"/>
      <c r="B222" s="3" t="n"/>
      <c r="C222" s="3" t="n"/>
      <c r="D222" s="3" t="n"/>
      <c r="E222" s="3" t="n"/>
      <c r="F222" s="3" t="n"/>
    </row>
    <row r="223">
      <c r="A223" s="3" t="n"/>
      <c r="B223" s="3" t="n"/>
      <c r="C223" s="3" t="n"/>
      <c r="D223" s="3" t="n"/>
      <c r="E223" s="3" t="n"/>
      <c r="F223" s="3" t="n"/>
    </row>
    <row r="224">
      <c r="A224" s="3" t="n"/>
      <c r="B224" s="3" t="n"/>
      <c r="C224" s="3" t="n"/>
      <c r="D224" s="3" t="n"/>
      <c r="E224" s="3" t="n"/>
      <c r="F224" s="3" t="n"/>
    </row>
    <row r="225">
      <c r="A225" s="3" t="n"/>
      <c r="B225" s="3" t="n"/>
      <c r="C225" s="3" t="n"/>
      <c r="D225" s="3" t="n"/>
      <c r="E225" s="3" t="n"/>
      <c r="F225" s="3" t="n"/>
    </row>
    <row r="226">
      <c r="A226" s="3" t="n"/>
      <c r="B226" s="3" t="n"/>
      <c r="C226" s="3" t="n"/>
      <c r="D226" s="3" t="n"/>
      <c r="E226" s="3" t="n"/>
      <c r="F226" s="3" t="n"/>
    </row>
    <row r="227">
      <c r="A227" s="3" t="n"/>
      <c r="B227" s="3" t="n"/>
      <c r="C227" s="3" t="n"/>
      <c r="D227" s="3" t="n"/>
      <c r="E227" s="3" t="n"/>
      <c r="F227" s="3" t="n"/>
    </row>
    <row r="228">
      <c r="A228" s="3" t="n"/>
      <c r="B228" s="3" t="n"/>
      <c r="C228" s="3" t="n"/>
      <c r="D228" s="3" t="n"/>
      <c r="E228" s="3" t="n"/>
      <c r="F228" s="3" t="n"/>
    </row>
    <row r="229">
      <c r="A229" s="3" t="n"/>
      <c r="B229" s="3" t="n"/>
      <c r="C229" s="3" t="n"/>
      <c r="D229" s="3" t="n"/>
      <c r="E229" s="3" t="n"/>
      <c r="F229" s="3" t="n"/>
    </row>
    <row r="230">
      <c r="A230" s="3" t="n"/>
      <c r="B230" s="3" t="n"/>
      <c r="C230" s="3" t="n"/>
      <c r="D230" s="3" t="n"/>
      <c r="E230" s="3" t="n"/>
      <c r="F230" s="3" t="n"/>
    </row>
    <row r="231">
      <c r="A231" s="3" t="n"/>
      <c r="B231" s="3" t="n"/>
      <c r="C231" s="3" t="n"/>
      <c r="D231" s="3" t="n"/>
      <c r="E231" s="3" t="n"/>
      <c r="F231" s="3" t="n"/>
    </row>
    <row r="232">
      <c r="A232" s="3" t="n"/>
      <c r="B232" s="3" t="n"/>
      <c r="C232" s="3" t="n"/>
      <c r="D232" s="3" t="n"/>
      <c r="E232" s="3" t="n"/>
      <c r="F232" s="3" t="n"/>
    </row>
    <row r="233">
      <c r="A233" s="3" t="n"/>
      <c r="B233" s="3" t="n"/>
      <c r="C233" s="3" t="n"/>
      <c r="D233" s="3" t="n"/>
      <c r="E233" s="3" t="n"/>
      <c r="F233" s="3" t="n"/>
    </row>
    <row r="234">
      <c r="A234" s="3" t="n"/>
      <c r="B234" s="3" t="n"/>
      <c r="C234" s="3" t="n"/>
      <c r="D234" s="3" t="n"/>
      <c r="E234" s="3" t="n"/>
      <c r="F234" s="3" t="n"/>
    </row>
    <row r="235">
      <c r="A235" s="3" t="n"/>
      <c r="B235" s="3" t="n"/>
      <c r="C235" s="3" t="n"/>
      <c r="D235" s="3" t="n"/>
      <c r="E235" s="3" t="n"/>
      <c r="F235" s="3" t="n"/>
    </row>
    <row r="236">
      <c r="A236" s="3" t="n"/>
      <c r="B236" s="3" t="n"/>
      <c r="C236" s="3" t="n"/>
      <c r="D236" s="3" t="n"/>
      <c r="E236" s="3" t="n"/>
      <c r="F236" s="3" t="n"/>
    </row>
    <row r="237">
      <c r="A237" s="3" t="n"/>
      <c r="B237" s="3" t="n"/>
      <c r="C237" s="3" t="n"/>
      <c r="D237" s="3" t="n"/>
      <c r="E237" s="3" t="n"/>
      <c r="F237" s="3" t="n"/>
    </row>
    <row r="238">
      <c r="A238" s="3" t="n"/>
      <c r="B238" s="3" t="n"/>
      <c r="C238" s="3" t="n"/>
      <c r="D238" s="3" t="n"/>
      <c r="E238" s="3" t="n"/>
      <c r="F238" s="3" t="n"/>
    </row>
    <row r="239">
      <c r="A239" s="3" t="n"/>
      <c r="B239" s="3" t="n"/>
      <c r="C239" s="3" t="n"/>
      <c r="D239" s="3" t="n"/>
      <c r="E239" s="3" t="n"/>
      <c r="F239" s="3" t="n"/>
    </row>
    <row r="240">
      <c r="A240" s="3" t="n"/>
      <c r="B240" s="3" t="n"/>
      <c r="C240" s="3" t="n"/>
      <c r="D240" s="3" t="n"/>
      <c r="E240" s="3" t="n"/>
      <c r="F240" s="3" t="n"/>
    </row>
    <row r="241">
      <c r="A241" s="3" t="n"/>
      <c r="B241" s="3" t="n"/>
      <c r="C241" s="3" t="n"/>
      <c r="D241" s="3" t="n"/>
      <c r="E241" s="3" t="n"/>
      <c r="F241" s="3" t="n"/>
    </row>
    <row r="242">
      <c r="A242" s="3" t="n"/>
      <c r="B242" s="3" t="n"/>
      <c r="C242" s="3" t="n"/>
      <c r="D242" s="3" t="n"/>
      <c r="E242" s="3" t="n"/>
      <c r="F242" s="3" t="n"/>
    </row>
    <row r="243">
      <c r="A243" s="3" t="n"/>
      <c r="B243" s="3" t="n"/>
      <c r="C243" s="3" t="n"/>
      <c r="D243" s="3" t="n"/>
      <c r="E243" s="3" t="n"/>
      <c r="F243" s="3" t="n"/>
    </row>
    <row r="244">
      <c r="A244" s="3" t="n"/>
      <c r="B244" s="3" t="n"/>
      <c r="C244" s="3" t="n"/>
      <c r="D244" s="3" t="n"/>
      <c r="E244" s="3" t="n"/>
      <c r="F244" s="3" t="n"/>
    </row>
    <row r="245">
      <c r="A245" s="3" t="n"/>
      <c r="B245" s="3" t="n"/>
      <c r="C245" s="3" t="n"/>
      <c r="D245" s="3" t="n"/>
      <c r="E245" s="3" t="n"/>
      <c r="F245" s="3" t="n"/>
    </row>
    <row r="246">
      <c r="A246" s="3" t="n"/>
      <c r="B246" s="3" t="n"/>
      <c r="C246" s="3" t="n"/>
      <c r="D246" s="3" t="n"/>
      <c r="E246" s="3" t="n"/>
      <c r="F246" s="3" t="n"/>
    </row>
    <row r="247">
      <c r="A247" s="3" t="n"/>
      <c r="B247" s="3" t="n"/>
      <c r="C247" s="3" t="n"/>
      <c r="D247" s="3" t="n"/>
      <c r="E247" s="3" t="n"/>
      <c r="F247" s="3" t="n"/>
    </row>
    <row r="248">
      <c r="A248" s="3" t="n"/>
      <c r="B248" s="3" t="n"/>
      <c r="C248" s="3" t="n"/>
      <c r="D248" s="3" t="n"/>
      <c r="E248" s="3" t="n"/>
      <c r="F248" s="3" t="n"/>
    </row>
    <row r="249">
      <c r="A249" s="3" t="n"/>
      <c r="B249" s="3" t="n"/>
      <c r="C249" s="3" t="n"/>
      <c r="D249" s="3" t="n"/>
      <c r="E249" s="3" t="n"/>
      <c r="F249" s="3" t="n"/>
    </row>
    <row r="250">
      <c r="A250" s="3" t="n"/>
      <c r="B250" s="3" t="n"/>
      <c r="C250" s="3" t="n"/>
      <c r="D250" s="3" t="n"/>
      <c r="E250" s="3" t="n"/>
      <c r="F250" s="3" t="n"/>
    </row>
    <row r="251">
      <c r="A251" s="3" t="n"/>
      <c r="B251" s="3" t="n"/>
      <c r="C251" s="3" t="n"/>
      <c r="D251" s="3" t="n"/>
      <c r="E251" s="3" t="n"/>
      <c r="F251" s="3" t="n"/>
    </row>
    <row r="252">
      <c r="A252" s="3" t="n"/>
      <c r="B252" s="3" t="n"/>
      <c r="C252" s="3" t="n"/>
      <c r="D252" s="3" t="n"/>
      <c r="E252" s="3" t="n"/>
      <c r="F252" s="3" t="n"/>
    </row>
    <row r="253">
      <c r="A253" s="3" t="n"/>
      <c r="B253" s="3" t="n"/>
      <c r="C253" s="3" t="n"/>
      <c r="D253" s="3" t="n"/>
      <c r="E253" s="3" t="n"/>
      <c r="F253" s="3" t="n"/>
    </row>
    <row r="254">
      <c r="A254" s="3" t="n"/>
      <c r="B254" s="3" t="n"/>
      <c r="C254" s="3" t="n"/>
      <c r="D254" s="3" t="n"/>
      <c r="E254" s="3" t="n"/>
      <c r="F254" s="3" t="n"/>
    </row>
    <row r="255">
      <c r="A255" s="3" t="n"/>
      <c r="B255" s="3" t="n"/>
      <c r="C255" s="3" t="n"/>
      <c r="D255" s="3" t="n"/>
      <c r="E255" s="3" t="n"/>
      <c r="F255" s="3" t="n"/>
    </row>
    <row r="256">
      <c r="A256" s="3" t="n"/>
      <c r="B256" s="3" t="n"/>
      <c r="C256" s="3" t="n"/>
      <c r="D256" s="3" t="n"/>
      <c r="E256" s="3" t="n"/>
      <c r="F256" s="3" t="n"/>
    </row>
    <row r="257">
      <c r="A257" s="3" t="n"/>
      <c r="B257" s="3" t="n"/>
      <c r="C257" s="3" t="n"/>
      <c r="D257" s="3" t="n"/>
      <c r="E257" s="3" t="n"/>
      <c r="F257" s="3" t="n"/>
    </row>
    <row r="258">
      <c r="A258" s="3" t="n"/>
      <c r="B258" s="3" t="n"/>
      <c r="C258" s="3" t="n"/>
      <c r="D258" s="3" t="n"/>
      <c r="E258" s="3" t="n"/>
      <c r="F258" s="3" t="n"/>
    </row>
    <row r="259">
      <c r="A259" s="3" t="n"/>
      <c r="B259" s="3" t="n"/>
      <c r="C259" s="3" t="n"/>
      <c r="D259" s="3" t="n"/>
      <c r="E259" s="3" t="n"/>
      <c r="F259" s="3" t="n"/>
    </row>
    <row r="260">
      <c r="A260" s="3" t="n"/>
      <c r="B260" s="3" t="n"/>
      <c r="C260" s="3" t="n"/>
      <c r="D260" s="3" t="n"/>
      <c r="E260" s="3" t="n"/>
      <c r="F260" s="3" t="n"/>
    </row>
    <row r="261">
      <c r="A261" s="3" t="n"/>
      <c r="B261" s="3" t="n"/>
      <c r="C261" s="3" t="n"/>
      <c r="D261" s="3" t="n"/>
      <c r="E261" s="3" t="n"/>
      <c r="F261" s="3" t="n"/>
    </row>
    <row r="262">
      <c r="A262" s="3" t="n"/>
      <c r="B262" s="3" t="n"/>
      <c r="C262" s="3" t="n"/>
      <c r="D262" s="3" t="n"/>
      <c r="E262" s="3" t="n"/>
      <c r="F262" s="3" t="n"/>
    </row>
    <row r="263">
      <c r="A263" s="3" t="n"/>
      <c r="B263" s="3" t="n"/>
      <c r="C263" s="3" t="n"/>
      <c r="D263" s="3" t="n"/>
      <c r="E263" s="3" t="n"/>
      <c r="F263" s="3" t="n"/>
    </row>
    <row r="264">
      <c r="A264" s="3" t="n"/>
      <c r="B264" s="3" t="n"/>
      <c r="C264" s="3" t="n"/>
      <c r="D264" s="3" t="n"/>
      <c r="E264" s="3" t="n"/>
      <c r="F264" s="3" t="n"/>
    </row>
    <row r="265">
      <c r="A265" s="3" t="n"/>
      <c r="B265" s="3" t="n"/>
      <c r="C265" s="3" t="n"/>
      <c r="D265" s="3" t="n"/>
      <c r="E265" s="3" t="n"/>
      <c r="F265" s="3" t="n"/>
    </row>
    <row r="266">
      <c r="A266" s="3" t="n"/>
      <c r="B266" s="3" t="n"/>
      <c r="C266" s="3" t="n"/>
      <c r="D266" s="3" t="n"/>
      <c r="E266" s="3" t="n"/>
      <c r="F266" s="3" t="n"/>
    </row>
    <row r="267">
      <c r="A267" s="3" t="n"/>
      <c r="B267" s="3" t="n"/>
      <c r="C267" s="3" t="n"/>
      <c r="D267" s="3" t="n"/>
      <c r="E267" s="3" t="n"/>
      <c r="F267" s="3" t="n"/>
    </row>
    <row r="268">
      <c r="A268" s="3" t="n"/>
      <c r="B268" s="3" t="n"/>
      <c r="C268" s="3" t="n"/>
      <c r="D268" s="3" t="n"/>
      <c r="E268" s="3" t="n"/>
      <c r="F268" s="3" t="n"/>
    </row>
    <row r="269">
      <c r="A269" s="3" t="n"/>
      <c r="B269" s="3" t="n"/>
      <c r="C269" s="3" t="n"/>
      <c r="D269" s="3" t="n"/>
      <c r="E269" s="3" t="n"/>
      <c r="F269" s="3" t="n"/>
    </row>
    <row r="270">
      <c r="A270" s="3" t="n"/>
      <c r="B270" s="3" t="n"/>
      <c r="C270" s="3" t="n"/>
      <c r="D270" s="3" t="n"/>
      <c r="E270" s="3" t="n"/>
      <c r="F270" s="3" t="n"/>
    </row>
    <row r="271">
      <c r="A271" s="3" t="n"/>
      <c r="B271" s="3" t="n"/>
      <c r="C271" s="3" t="n"/>
      <c r="D271" s="3" t="n"/>
      <c r="E271" s="3" t="n"/>
      <c r="F271" s="3" t="n"/>
    </row>
    <row r="272">
      <c r="A272" s="3" t="n"/>
      <c r="B272" s="3" t="n"/>
      <c r="C272" s="3" t="n"/>
      <c r="D272" s="3" t="n"/>
      <c r="E272" s="3" t="n"/>
      <c r="F272" s="3" t="n"/>
    </row>
    <row r="273">
      <c r="A273" s="3" t="n"/>
      <c r="B273" s="3" t="n"/>
      <c r="C273" s="3" t="n"/>
      <c r="D273" s="3" t="n"/>
      <c r="E273" s="3" t="n"/>
      <c r="F273" s="3" t="n"/>
    </row>
    <row r="274">
      <c r="A274" s="3" t="n"/>
      <c r="B274" s="3" t="n"/>
      <c r="C274" s="3" t="n"/>
      <c r="D274" s="3" t="n"/>
      <c r="E274" s="3" t="n"/>
      <c r="F274" s="3" t="n"/>
    </row>
    <row r="275">
      <c r="A275" s="3" t="n"/>
      <c r="B275" s="3" t="n"/>
      <c r="C275" s="3" t="n"/>
      <c r="D275" s="3" t="n"/>
      <c r="E275" s="3" t="n"/>
      <c r="F275" s="3" t="n"/>
    </row>
    <row r="276">
      <c r="A276" s="3" t="n"/>
      <c r="B276" s="3" t="n"/>
      <c r="C276" s="3" t="n"/>
      <c r="D276" s="3" t="n"/>
      <c r="E276" s="3" t="n"/>
      <c r="F276" s="3" t="n"/>
    </row>
    <row r="277">
      <c r="A277" s="3" t="n"/>
      <c r="B277" s="3" t="n"/>
      <c r="C277" s="3" t="n"/>
      <c r="D277" s="3" t="n"/>
      <c r="E277" s="3" t="n"/>
      <c r="F277" s="3" t="n"/>
    </row>
    <row r="278">
      <c r="A278" s="3" t="n"/>
      <c r="B278" s="3" t="n"/>
      <c r="C278" s="3" t="n"/>
      <c r="D278" s="3" t="n"/>
      <c r="E278" s="3" t="n"/>
      <c r="F278" s="3" t="n"/>
    </row>
    <row r="279">
      <c r="A279" s="3" t="n"/>
      <c r="B279" s="3" t="n"/>
      <c r="C279" s="3" t="n"/>
      <c r="D279" s="3" t="n"/>
      <c r="E279" s="3" t="n"/>
      <c r="F279" s="3" t="n"/>
    </row>
    <row r="280">
      <c r="A280" s="3" t="n"/>
      <c r="B280" s="3" t="n"/>
      <c r="C280" s="3" t="n"/>
      <c r="D280" s="3" t="n"/>
      <c r="E280" s="3" t="n"/>
      <c r="F280" s="3" t="n"/>
    </row>
    <row r="281">
      <c r="A281" s="3" t="n"/>
      <c r="B281" s="3" t="n"/>
      <c r="C281" s="3" t="n"/>
      <c r="D281" s="3" t="n"/>
      <c r="E281" s="3" t="n"/>
      <c r="F281" s="3" t="n"/>
    </row>
    <row r="282">
      <c r="A282" s="3" t="n"/>
      <c r="B282" s="3" t="n"/>
      <c r="C282" s="3" t="n"/>
      <c r="D282" s="3" t="n"/>
      <c r="E282" s="3" t="n"/>
      <c r="F282" s="3" t="n"/>
    </row>
    <row r="283">
      <c r="A283" s="3" t="n"/>
      <c r="B283" s="3" t="n"/>
      <c r="C283" s="3" t="n"/>
      <c r="D283" s="3" t="n"/>
      <c r="E283" s="3" t="n"/>
      <c r="F283" s="3" t="n"/>
    </row>
    <row r="284">
      <c r="A284" s="3" t="n"/>
      <c r="B284" s="3" t="n"/>
      <c r="C284" s="3" t="n"/>
      <c r="D284" s="3" t="n"/>
      <c r="E284" s="3" t="n"/>
      <c r="F284" s="3" t="n"/>
    </row>
    <row r="285">
      <c r="A285" s="3" t="n"/>
      <c r="B285" s="3" t="n"/>
      <c r="C285" s="3" t="n"/>
      <c r="D285" s="3" t="n"/>
      <c r="E285" s="3" t="n"/>
      <c r="F285" s="3" t="n"/>
    </row>
    <row r="286">
      <c r="A286" s="3" t="n"/>
      <c r="B286" s="3" t="n"/>
      <c r="C286" s="3" t="n"/>
      <c r="D286" s="3" t="n"/>
      <c r="E286" s="3" t="n"/>
      <c r="F286" s="3" t="n"/>
    </row>
    <row r="287">
      <c r="A287" s="3" t="n"/>
      <c r="B287" s="3" t="n"/>
      <c r="C287" s="3" t="n"/>
      <c r="D287" s="3" t="n"/>
      <c r="E287" s="3" t="n"/>
      <c r="F287" s="3" t="n"/>
    </row>
    <row r="288">
      <c r="A288" s="3" t="n"/>
      <c r="B288" s="3" t="n"/>
      <c r="C288" s="3" t="n"/>
      <c r="D288" s="3" t="n"/>
      <c r="E288" s="3" t="n"/>
      <c r="F288" s="3" t="n"/>
    </row>
    <row r="289">
      <c r="A289" s="3" t="n"/>
      <c r="B289" s="3" t="n"/>
      <c r="C289" s="3" t="n"/>
      <c r="D289" s="3" t="n"/>
      <c r="E289" s="3" t="n"/>
      <c r="F289" s="3" t="n"/>
    </row>
    <row r="290">
      <c r="A290" s="3" t="n"/>
      <c r="B290" s="3" t="n"/>
      <c r="C290" s="3" t="n"/>
      <c r="D290" s="3" t="n"/>
      <c r="E290" s="3" t="n"/>
      <c r="F290" s="3" t="n"/>
    </row>
    <row r="291">
      <c r="A291" s="3" t="n"/>
      <c r="B291" s="3" t="n"/>
      <c r="C291" s="3" t="n"/>
      <c r="D291" s="3" t="n"/>
      <c r="E291" s="3" t="n"/>
      <c r="F291" s="3" t="n"/>
    </row>
    <row r="292">
      <c r="A292" s="3" t="n"/>
      <c r="B292" s="3" t="n"/>
      <c r="C292" s="3" t="n"/>
      <c r="D292" s="3" t="n"/>
      <c r="E292" s="3" t="n"/>
      <c r="F292" s="3" t="n"/>
    </row>
    <row r="293">
      <c r="A293" s="3" t="n"/>
      <c r="B293" s="3" t="n"/>
      <c r="C293" s="3" t="n"/>
      <c r="D293" s="3" t="n"/>
      <c r="E293" s="3" t="n"/>
      <c r="F293" s="3" t="n"/>
    </row>
    <row r="294">
      <c r="A294" s="3" t="n"/>
      <c r="B294" s="3" t="n"/>
      <c r="C294" s="3" t="n"/>
      <c r="D294" s="3" t="n"/>
      <c r="E294" s="3" t="n"/>
      <c r="F294" s="3" t="n"/>
    </row>
    <row r="295">
      <c r="A295" s="3" t="n"/>
      <c r="B295" s="3" t="n"/>
      <c r="C295" s="3" t="n"/>
      <c r="D295" s="3" t="n"/>
      <c r="E295" s="3" t="n"/>
      <c r="F295" s="3" t="n"/>
    </row>
    <row r="296">
      <c r="A296" s="3" t="n"/>
      <c r="B296" s="3" t="n"/>
      <c r="C296" s="3" t="n"/>
      <c r="D296" s="3" t="n"/>
      <c r="E296" s="3" t="n"/>
      <c r="F296" s="3" t="n"/>
    </row>
    <row r="297">
      <c r="A297" s="3" t="n"/>
      <c r="B297" s="3" t="n"/>
      <c r="C297" s="3" t="n"/>
      <c r="D297" s="3" t="n"/>
      <c r="E297" s="3" t="n"/>
      <c r="F297" s="3" t="n"/>
    </row>
    <row r="298">
      <c r="A298" s="3" t="n"/>
      <c r="B298" s="3" t="n"/>
      <c r="C298" s="3" t="n"/>
      <c r="D298" s="3" t="n"/>
      <c r="E298" s="3" t="n"/>
      <c r="F298" s="3" t="n"/>
    </row>
    <row r="299">
      <c r="A299" s="3" t="n"/>
      <c r="B299" s="3" t="n"/>
      <c r="C299" s="3" t="n"/>
      <c r="D299" s="3" t="n"/>
      <c r="E299" s="3" t="n"/>
      <c r="F299" s="3" t="n"/>
    </row>
    <row r="300">
      <c r="A300" s="3" t="n"/>
      <c r="B300" s="3" t="n"/>
      <c r="C300" s="3" t="n"/>
      <c r="D300" s="3" t="n"/>
      <c r="E300" s="3" t="n"/>
      <c r="F300" s="3" t="n"/>
    </row>
    <row r="301">
      <c r="A301" s="3" t="n"/>
      <c r="B301" s="3" t="n"/>
      <c r="C301" s="3" t="n"/>
      <c r="D301" s="3" t="n"/>
      <c r="E301" s="3" t="n"/>
      <c r="F301" s="3" t="n"/>
    </row>
    <row r="302">
      <c r="A302" s="3" t="n"/>
      <c r="B302" s="3" t="n"/>
      <c r="C302" s="3" t="n"/>
      <c r="D302" s="3" t="n"/>
      <c r="E302" s="3" t="n"/>
      <c r="F302" s="3" t="n"/>
    </row>
    <row r="303">
      <c r="A303" s="3" t="n"/>
      <c r="B303" s="3" t="n"/>
      <c r="C303" s="3" t="n"/>
      <c r="D303" s="3" t="n"/>
      <c r="E303" s="3" t="n"/>
      <c r="F303" s="3" t="n"/>
    </row>
    <row r="304">
      <c r="A304" s="3" t="n"/>
      <c r="B304" s="3" t="n"/>
      <c r="C304" s="3" t="n"/>
      <c r="D304" s="3" t="n"/>
      <c r="E304" s="3" t="n"/>
      <c r="F304" s="3" t="n"/>
    </row>
    <row r="305">
      <c r="A305" s="3" t="n"/>
      <c r="B305" s="3" t="n"/>
      <c r="C305" s="3" t="n"/>
      <c r="D305" s="3" t="n"/>
      <c r="E305" s="3" t="n"/>
      <c r="F305" s="3" t="n"/>
    </row>
    <row r="306">
      <c r="A306" s="3" t="n"/>
      <c r="B306" s="3" t="n"/>
      <c r="C306" s="3" t="n"/>
      <c r="D306" s="3" t="n"/>
      <c r="E306" s="3" t="n"/>
      <c r="F306" s="3" t="n"/>
    </row>
    <row r="307">
      <c r="A307" s="3" t="n"/>
      <c r="B307" s="3" t="n"/>
      <c r="C307" s="3" t="n"/>
      <c r="D307" s="3" t="n"/>
      <c r="E307" s="3" t="n"/>
      <c r="F307" s="3" t="n"/>
    </row>
    <row r="308">
      <c r="A308" s="3" t="n"/>
      <c r="B308" s="3" t="n"/>
      <c r="C308" s="3" t="n"/>
      <c r="D308" s="3" t="n"/>
      <c r="E308" s="3" t="n"/>
      <c r="F308" s="3" t="n"/>
    </row>
    <row r="309">
      <c r="A309" s="3" t="n"/>
      <c r="B309" s="3" t="n"/>
      <c r="C309" s="3" t="n"/>
      <c r="D309" s="3" t="n"/>
      <c r="E309" s="3" t="n"/>
      <c r="F309" s="3" t="n"/>
    </row>
    <row r="310">
      <c r="A310" s="3" t="n"/>
      <c r="B310" s="3" t="n"/>
      <c r="C310" s="3" t="n"/>
      <c r="D310" s="3" t="n"/>
      <c r="E310" s="3" t="n"/>
      <c r="F310" s="3" t="n"/>
    </row>
    <row r="311">
      <c r="A311" s="3" t="n"/>
      <c r="B311" s="3" t="n"/>
      <c r="C311" s="3" t="n"/>
      <c r="D311" s="3" t="n"/>
      <c r="E311" s="3" t="n"/>
      <c r="F311" s="3" t="n"/>
    </row>
    <row r="312">
      <c r="A312" s="3" t="n"/>
      <c r="B312" s="3" t="n"/>
      <c r="C312" s="3" t="n"/>
      <c r="D312" s="3" t="n"/>
      <c r="E312" s="3" t="n"/>
      <c r="F312" s="3" t="n"/>
    </row>
    <row r="313">
      <c r="A313" s="3" t="n"/>
      <c r="B313" s="3" t="n"/>
      <c r="C313" s="3" t="n"/>
      <c r="D313" s="3" t="n"/>
      <c r="E313" s="3" t="n"/>
      <c r="F313" s="3" t="n"/>
    </row>
    <row r="314">
      <c r="A314" s="3" t="n"/>
      <c r="B314" s="3" t="n"/>
      <c r="C314" s="3" t="n"/>
      <c r="D314" s="3" t="n"/>
      <c r="E314" s="3" t="n"/>
      <c r="F314" s="3" t="n"/>
    </row>
    <row r="315">
      <c r="A315" s="3" t="n"/>
      <c r="B315" s="3" t="n"/>
      <c r="C315" s="3" t="n"/>
      <c r="D315" s="3" t="n"/>
      <c r="E315" s="3" t="n"/>
      <c r="F315" s="3" t="n"/>
    </row>
    <row r="316">
      <c r="A316" s="3" t="n"/>
      <c r="B316" s="3" t="n"/>
      <c r="C316" s="3" t="n"/>
      <c r="D316" s="3" t="n"/>
      <c r="E316" s="3" t="n"/>
      <c r="F316" s="3" t="n"/>
    </row>
    <row r="317">
      <c r="A317" s="3" t="n"/>
      <c r="B317" s="3" t="n"/>
      <c r="C317" s="3" t="n"/>
      <c r="D317" s="3" t="n"/>
      <c r="E317" s="3" t="n"/>
      <c r="F317" s="3" t="n"/>
    </row>
    <row r="318">
      <c r="A318" s="3" t="n"/>
      <c r="B318" s="3" t="n"/>
      <c r="C318" s="3" t="n"/>
      <c r="D318" s="3" t="n"/>
      <c r="E318" s="3" t="n"/>
      <c r="F318" s="3" t="n"/>
    </row>
    <row r="319">
      <c r="A319" s="3" t="n"/>
      <c r="B319" s="3" t="n"/>
      <c r="C319" s="3" t="n"/>
      <c r="D319" s="3" t="n"/>
      <c r="E319" s="3" t="n"/>
      <c r="F319" s="3" t="n"/>
    </row>
    <row r="320">
      <c r="A320" s="3" t="n"/>
      <c r="B320" s="3" t="n"/>
      <c r="C320" s="3" t="n"/>
      <c r="D320" s="3" t="n"/>
      <c r="E320" s="3" t="n"/>
      <c r="F320" s="3" t="n"/>
    </row>
    <row r="321">
      <c r="A321" s="3" t="n"/>
      <c r="B321" s="3" t="n"/>
      <c r="C321" s="3" t="n"/>
      <c r="D321" s="3" t="n"/>
      <c r="E321" s="3" t="n"/>
      <c r="F321" s="3" t="n"/>
    </row>
    <row r="322">
      <c r="A322" s="3" t="n"/>
      <c r="B322" s="3" t="n"/>
      <c r="C322" s="3" t="n"/>
      <c r="D322" s="3" t="n"/>
      <c r="E322" s="3" t="n"/>
      <c r="F322" s="3" t="n"/>
    </row>
    <row r="323">
      <c r="A323" s="3" t="n"/>
      <c r="B323" s="3" t="n"/>
      <c r="C323" s="3" t="n"/>
      <c r="D323" s="3" t="n"/>
      <c r="E323" s="3" t="n"/>
      <c r="F323" s="3" t="n"/>
    </row>
    <row r="324">
      <c r="A324" s="3" t="n"/>
      <c r="B324" s="3" t="n"/>
      <c r="C324" s="3" t="n"/>
      <c r="D324" s="3" t="n"/>
      <c r="E324" s="3" t="n"/>
      <c r="F324" s="3" t="n"/>
    </row>
    <row r="325">
      <c r="A325" s="3" t="n"/>
      <c r="B325" s="3" t="n"/>
      <c r="C325" s="3" t="n"/>
      <c r="D325" s="3" t="n"/>
      <c r="E325" s="3" t="n"/>
      <c r="F325" s="3" t="n"/>
    </row>
    <row r="326">
      <c r="A326" s="3" t="n"/>
      <c r="B326" s="3" t="n"/>
      <c r="C326" s="3" t="n"/>
      <c r="D326" s="3" t="n"/>
      <c r="E326" s="3" t="n"/>
      <c r="F326" s="3" t="n"/>
    </row>
    <row r="327">
      <c r="A327" s="3" t="n"/>
      <c r="B327" s="3" t="n"/>
      <c r="C327" s="3" t="n"/>
      <c r="D327" s="3" t="n"/>
      <c r="E327" s="3" t="n"/>
      <c r="F327" s="3" t="n"/>
    </row>
    <row r="328">
      <c r="A328" s="3" t="n"/>
      <c r="B328" s="3" t="n"/>
      <c r="C328" s="3" t="n"/>
      <c r="D328" s="3" t="n"/>
      <c r="E328" s="3" t="n"/>
      <c r="F328" s="3" t="n"/>
    </row>
    <row r="329">
      <c r="A329" s="3" t="n"/>
      <c r="B329" s="3" t="n"/>
      <c r="C329" s="3" t="n"/>
      <c r="D329" s="3" t="n"/>
      <c r="E329" s="3" t="n"/>
      <c r="F329" s="3" t="n"/>
    </row>
    <row r="330">
      <c r="A330" s="3" t="n"/>
      <c r="B330" s="3" t="n"/>
      <c r="C330" s="3" t="n"/>
      <c r="D330" s="3" t="n"/>
      <c r="E330" s="3" t="n"/>
      <c r="F330" s="3" t="n"/>
    </row>
    <row r="331">
      <c r="A331" s="3" t="n"/>
      <c r="B331" s="3" t="n"/>
      <c r="C331" s="3" t="n"/>
      <c r="D331" s="3" t="n"/>
      <c r="E331" s="3" t="n"/>
      <c r="F331" s="3" t="n"/>
    </row>
    <row r="332">
      <c r="A332" s="3" t="n"/>
      <c r="B332" s="3" t="n"/>
      <c r="C332" s="3" t="n"/>
      <c r="D332" s="3" t="n"/>
      <c r="E332" s="3" t="n"/>
      <c r="F332" s="3" t="n"/>
    </row>
    <row r="333">
      <c r="A333" s="3" t="n"/>
      <c r="B333" s="3" t="n"/>
      <c r="C333" s="3" t="n"/>
      <c r="D333" s="3" t="n"/>
      <c r="E333" s="3" t="n"/>
      <c r="F333" s="3" t="n"/>
    </row>
    <row r="334">
      <c r="A334" s="3" t="n"/>
      <c r="B334" s="3" t="n"/>
      <c r="C334" s="3" t="n"/>
      <c r="D334" s="3" t="n"/>
      <c r="E334" s="3" t="n"/>
      <c r="F334" s="3" t="n"/>
    </row>
    <row r="335">
      <c r="A335" s="3" t="n"/>
      <c r="B335" s="3" t="n"/>
      <c r="C335" s="3" t="n"/>
      <c r="D335" s="3" t="n"/>
      <c r="E335" s="3" t="n"/>
      <c r="F335" s="3" t="n"/>
    </row>
    <row r="336">
      <c r="A336" s="3" t="n"/>
      <c r="B336" s="3" t="n"/>
      <c r="C336" s="3" t="n"/>
      <c r="D336" s="3" t="n"/>
      <c r="E336" s="3" t="n"/>
      <c r="F336" s="3" t="n"/>
    </row>
    <row r="337">
      <c r="A337" s="3" t="n"/>
      <c r="B337" s="3" t="n"/>
      <c r="C337" s="3" t="n"/>
      <c r="D337" s="3" t="n"/>
      <c r="E337" s="3" t="n"/>
      <c r="F337" s="3" t="n"/>
    </row>
    <row r="338">
      <c r="A338" s="3" t="n"/>
      <c r="B338" s="3" t="n"/>
      <c r="C338" s="3" t="n"/>
      <c r="D338" s="3" t="n"/>
      <c r="E338" s="3" t="n"/>
      <c r="F338" s="3" t="n"/>
    </row>
    <row r="339">
      <c r="A339" s="3" t="n"/>
      <c r="B339" s="3" t="n"/>
      <c r="C339" s="3" t="n"/>
      <c r="D339" s="3" t="n"/>
      <c r="E339" s="3" t="n"/>
      <c r="F339" s="3" t="n"/>
    </row>
    <row r="340">
      <c r="A340" s="3" t="n"/>
      <c r="B340" s="3" t="n"/>
      <c r="C340" s="3" t="n"/>
      <c r="D340" s="3" t="n"/>
      <c r="E340" s="3" t="n"/>
      <c r="F340" s="3" t="n"/>
    </row>
    <row r="341">
      <c r="A341" s="3" t="n"/>
      <c r="B341" s="3" t="n"/>
      <c r="C341" s="3" t="n"/>
      <c r="D341" s="3" t="n"/>
      <c r="E341" s="3" t="n"/>
      <c r="F341" s="3" t="n"/>
    </row>
    <row r="342">
      <c r="A342" s="3" t="n"/>
      <c r="B342" s="3" t="n"/>
      <c r="C342" s="3" t="n"/>
      <c r="D342" s="3" t="n"/>
      <c r="E342" s="3" t="n"/>
      <c r="F342" s="3" t="n"/>
    </row>
    <row r="343">
      <c r="A343" s="3" t="n"/>
      <c r="B343" s="3" t="n"/>
      <c r="C343" s="3" t="n"/>
      <c r="D343" s="3" t="n"/>
      <c r="E343" s="3" t="n"/>
      <c r="F343" s="3" t="n"/>
    </row>
    <row r="344">
      <c r="A344" s="3" t="n"/>
      <c r="B344" s="3" t="n"/>
      <c r="C344" s="3" t="n"/>
      <c r="D344" s="3" t="n"/>
      <c r="E344" s="3" t="n"/>
      <c r="F344" s="3" t="n"/>
    </row>
    <row r="345">
      <c r="A345" s="3" t="n"/>
      <c r="B345" s="3" t="n"/>
      <c r="C345" s="3" t="n"/>
      <c r="D345" s="3" t="n"/>
      <c r="E345" s="3" t="n"/>
      <c r="F345" s="3" t="n"/>
    </row>
    <row r="346">
      <c r="A346" s="3" t="n"/>
      <c r="B346" s="3" t="n"/>
      <c r="C346" s="3" t="n"/>
      <c r="D346" s="3" t="n"/>
      <c r="E346" s="3" t="n"/>
      <c r="F346" s="3" t="n"/>
    </row>
    <row r="347">
      <c r="A347" s="3" t="n"/>
      <c r="B347" s="3" t="n"/>
      <c r="C347" s="3" t="n"/>
      <c r="D347" s="3" t="n"/>
      <c r="E347" s="3" t="n"/>
      <c r="F347" s="3" t="n"/>
    </row>
    <row r="348">
      <c r="A348" s="3" t="n"/>
      <c r="B348" s="3" t="n"/>
      <c r="C348" s="3" t="n"/>
      <c r="D348" s="3" t="n"/>
      <c r="E348" s="3" t="n"/>
      <c r="F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</cols>
  <sheetData>
    <row r="1">
      <c r="A1" s="12" t="inlineStr">
        <is>
          <t>Metric</t>
        </is>
      </c>
      <c r="B1" s="12" t="inlineStr">
        <is>
          <t>Value</t>
        </is>
      </c>
    </row>
    <row r="2">
      <c r="A2" s="13" t="inlineStr">
        <is>
          <t>ev_common_total</t>
        </is>
      </c>
      <c r="B2" s="14" t="n">
        <v>0.46</v>
      </c>
    </row>
    <row r="3">
      <c r="A3" s="13" t="inlineStr">
        <is>
          <t>ev_uncommon_total</t>
        </is>
      </c>
      <c r="B3" s="14" t="n">
        <v>0.5027272727272727</v>
      </c>
    </row>
    <row r="4">
      <c r="A4" s="13" t="inlineStr">
        <is>
          <t>ev_rare_total</t>
        </is>
      </c>
      <c r="B4" s="14" t="n">
        <v>0.2001108776844071</v>
      </c>
    </row>
    <row r="5">
      <c r="A5" s="13" t="inlineStr">
        <is>
          <t>ev_reverse_total</t>
        </is>
      </c>
      <c r="B5" s="14" t="n">
        <v>0.9353145424836601</v>
      </c>
    </row>
    <row r="6">
      <c r="A6" s="13" t="inlineStr">
        <is>
          <t>ev_ace_spec_total</t>
        </is>
      </c>
      <c r="B6" s="14" t="n">
        <v>0</v>
      </c>
    </row>
    <row r="7">
      <c r="A7" s="13" t="inlineStr">
        <is>
          <t>ev_pokeball_total</t>
        </is>
      </c>
      <c r="B7" s="14" t="n">
        <v>0</v>
      </c>
    </row>
    <row r="8">
      <c r="A8" s="13" t="inlineStr">
        <is>
          <t>ev_master_ball_total</t>
        </is>
      </c>
      <c r="B8" s="14" t="n">
        <v>0</v>
      </c>
    </row>
    <row r="9">
      <c r="A9" s="13" t="inlineStr">
        <is>
          <t>ev_IR_total</t>
        </is>
      </c>
      <c r="B9" s="14" t="n">
        <v>1.78468085106383</v>
      </c>
    </row>
    <row r="10">
      <c r="A10" s="13" t="inlineStr">
        <is>
          <t>ev_SIR_total</t>
        </is>
      </c>
      <c r="B10" s="14" t="n">
        <v>1.987511111111111</v>
      </c>
    </row>
    <row r="11">
      <c r="A11" s="13" t="inlineStr">
        <is>
          <t>ev_double_rare_total</t>
        </is>
      </c>
      <c r="B11" s="14" t="n">
        <v>0.3778888888888888</v>
      </c>
    </row>
    <row r="12">
      <c r="A12" s="13" t="inlineStr">
        <is>
          <t>ev_hyper_rare_total</t>
        </is>
      </c>
      <c r="B12" s="14" t="n">
        <v>0.1222077922077922</v>
      </c>
    </row>
    <row r="13">
      <c r="A13" s="13" t="inlineStr">
        <is>
          <t>ev_ultra_rare_total</t>
        </is>
      </c>
      <c r="B13" s="14" t="n">
        <v>0.5407661290322581</v>
      </c>
    </row>
    <row r="14">
      <c r="A14" s="13" t="inlineStr">
        <is>
          <t>reverse_multiplier</t>
        </is>
      </c>
      <c r="B14" s="13" t="n">
        <v>1.885416666666667</v>
      </c>
    </row>
    <row r="15">
      <c r="A15" s="13" t="inlineStr">
        <is>
          <t>rare_multiplier</t>
        </is>
      </c>
      <c r="B15" s="13" t="n">
        <v>0.7928921568627451</v>
      </c>
    </row>
    <row r="16">
      <c r="A16" s="13" t="inlineStr">
        <is>
          <t>total_manual_ev</t>
        </is>
      </c>
      <c r="B16" s="13" t="n">
        <v>7.000469891885436</v>
      </c>
    </row>
    <row r="17">
      <c r="A17" s="13" t="inlineStr">
        <is>
          <t>regular_pack_ev_contribution</t>
        </is>
      </c>
      <c r="B17" s="13" t="n">
        <v>6.91120746519922</v>
      </c>
    </row>
    <row r="18">
      <c r="A18" s="13" t="inlineStr">
        <is>
          <t>god_pack_ev_contribution</t>
        </is>
      </c>
      <c r="B18" s="13" t="n">
        <v>0.08926242668621702</v>
      </c>
    </row>
    <row r="19">
      <c r="A19" s="13" t="inlineStr">
        <is>
          <t>demi_god_pack_ev_contribution</t>
        </is>
      </c>
      <c r="B19" s="13" t="n">
        <v>0</v>
      </c>
    </row>
    <row r="20">
      <c r="A20" s="13" t="inlineStr">
        <is>
          <t>net_value</t>
        </is>
      </c>
      <c r="B20" s="14" t="n">
        <v>-4.879130861045945</v>
      </c>
    </row>
    <row r="21">
      <c r="A21" s="13" t="inlineStr">
        <is>
          <t>opening_pack_roi</t>
        </is>
      </c>
      <c r="B21" s="13" t="n">
        <v>0.5712538786427114</v>
      </c>
    </row>
    <row r="22">
      <c r="A22" s="13" t="inlineStr">
        <is>
          <t>opening_pack_roi_percent</t>
        </is>
      </c>
      <c r="B22" s="13" t="n">
        <v>-42.87461213572886</v>
      </c>
    </row>
    <row r="23">
      <c r="A23" s="13" t="inlineStr">
        <is>
          <t>no_hit_probability_percentage</t>
        </is>
      </c>
      <c r="B23" s="15" t="n">
        <v>0.7075425630525005</v>
      </c>
    </row>
    <row r="24">
      <c r="A24" s="13" t="inlineStr">
        <is>
          <t>hit_probability_percentage</t>
        </is>
      </c>
      <c r="B24" s="15" t="n">
        <v>0.2924574369474995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2025-08-09T01:57:27Z</dcterms:modified>
  <cp:lastModifiedBy>Donald Stivison</cp:lastModifiedBy>
</cp:coreProperties>
</file>