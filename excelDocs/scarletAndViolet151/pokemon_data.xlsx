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5665" yWindow="2085" windowWidth="25260" windowHeight="11880" tabRatio="797" firstSheet="0" activeTab="1" autoFilterDateGrouping="1"/>
  </bookViews>
  <sheets>
    <sheet name="Data" sheetId="1" state="visible" r:id="rId1"/>
    <sheet name="Summary" sheetId="2" state="visible" r:id="rId2"/>
  </sheets>
  <definedNames>
    <definedName name="_xlnm._FilterDatabase" localSheetId="0" hidden="1">'Data'!$A$1:$L$210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b val="1"/>
      <sz val="11"/>
    </font>
    <font>
      <name val="Calibri"/>
      <b val="1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00D9D9D9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2" fillId="0" borderId="3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3" fillId="2" borderId="4" applyAlignment="1" pivotButton="0" quotePrefix="0" xfId="0">
      <alignment horizontal="center"/>
    </xf>
    <xf numFmtId="0" fontId="0" fillId="0" borderId="4" applyAlignment="1" pivotButton="0" quotePrefix="0" xfId="0">
      <alignment horizontal="left"/>
    </xf>
    <xf numFmtId="0" fontId="4" fillId="3" borderId="5" applyAlignment="1" pivotButton="0" quotePrefix="0" xfId="0">
      <alignment horizontal="center"/>
    </xf>
    <xf numFmtId="0" fontId="0" fillId="0" borderId="5" applyAlignment="1" pivotButton="0" quotePrefix="0" xfId="0">
      <alignment horizontal="left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Y1263"/>
  <sheetViews>
    <sheetView zoomScale="85" zoomScaleNormal="85" workbookViewId="0">
      <selection activeCell="B11" sqref="B11"/>
    </sheetView>
  </sheetViews>
  <sheetFormatPr baseColWidth="8" defaultRowHeight="15"/>
  <cols>
    <col width="39.5703125" customWidth="1" min="1" max="1"/>
    <col width="30" customWidth="1" min="2" max="2"/>
    <col width="18" customWidth="1" min="3" max="3"/>
    <col width="15" customWidth="1" min="4" max="4"/>
    <col width="30" customWidth="1" min="5" max="5"/>
    <col width="51.42578125" customWidth="1" min="6" max="6"/>
    <col width="15" customWidth="1" min="7" max="7"/>
    <col width="67.140625" customWidth="1" min="8" max="8"/>
    <col width="15" customWidth="1" min="9" max="9"/>
    <col width="24" customWidth="1" min="10" max="10"/>
    <col width="15" customWidth="1" min="11" max="11"/>
    <col width="24" bestFit="1" customWidth="1" min="12" max="12"/>
    <col width="20.42578125" customWidth="1" min="13" max="13"/>
    <col width="28.85546875" customWidth="1" min="14" max="14"/>
    <col width="13.85546875" customWidth="1" min="15" max="15"/>
    <col width="33.5703125" customWidth="1" min="16" max="16"/>
    <col width="26.85546875" customWidth="1" min="17" max="17"/>
    <col width="17" customWidth="1" min="18" max="18"/>
    <col width="16.85546875" customWidth="1" min="19" max="19"/>
    <col width="33.85546875" customWidth="1" min="27" max="27"/>
    <col width="31.5703125" customWidth="1" min="28" max="28"/>
    <col width="15.85546875" customWidth="1" min="36" max="36"/>
    <col width="15" customWidth="1" min="46" max="47"/>
    <col width="24" customWidth="1" min="48" max="48"/>
    <col width="20.42578125" customWidth="1" min="49" max="49"/>
    <col width="28.85546875" customWidth="1" min="50" max="50"/>
    <col width="16.85546875" customWidth="1" min="51" max="51"/>
  </cols>
  <sheetData>
    <row r="1">
      <c r="A1" s="1" t="inlineStr">
        <is>
          <t>Card Name</t>
        </is>
      </c>
      <c r="B1" s="1" t="inlineStr">
        <is>
          <t>Rarity</t>
        </is>
      </c>
      <c r="C1" s="4" t="inlineStr">
        <is>
          <t>Pull Rate (1/X)</t>
        </is>
      </c>
      <c r="D1" s="1" t="inlineStr">
        <is>
          <t>Price ($)</t>
        </is>
      </c>
      <c r="E1" s="1" t="inlineStr">
        <is>
          <t>Reverse Variant Price ($)</t>
        </is>
      </c>
      <c r="F1" s="4" t="inlineStr">
        <is>
          <t>Copies In Pack</t>
        </is>
      </c>
      <c r="G1" s="1" t="inlineStr">
        <is>
          <t>EV Total</t>
        </is>
      </c>
      <c r="H1" s="1" t="inlineStr">
        <is>
          <t>EV Breakdown</t>
        </is>
      </c>
      <c r="I1" s="1" t="inlineStr">
        <is>
          <t>Pack Price</t>
        </is>
      </c>
      <c r="J1" s="5" t="inlineStr">
        <is>
          <t>Booster Bundle Price</t>
        </is>
      </c>
      <c r="K1" s="1" t="inlineStr">
        <is>
          <t>ETB Price</t>
        </is>
      </c>
      <c r="L1" s="4" t="inlineStr">
        <is>
          <t>ETB Promo Card Price</t>
        </is>
      </c>
      <c r="M1" s="4" t="inlineStr">
        <is>
          <t>Booster Box Price</t>
        </is>
      </c>
      <c r="N1" s="4" t="inlineStr">
        <is>
          <t>Special Collection Price</t>
        </is>
      </c>
      <c r="O1" s="6" t="inlineStr">
        <is>
          <t>Probability</t>
        </is>
      </c>
      <c r="P1" s="6" t="inlineStr">
        <is>
          <t>Expected Value Contribution per Card</t>
        </is>
      </c>
      <c r="Q1" s="6" t="inlineStr">
        <is>
          <t>Variance Contribution per card</t>
        </is>
      </c>
      <c r="R1" s="6" t="inlineStr">
        <is>
          <t xml:space="preserve">Total Variance </t>
        </is>
      </c>
      <c r="S1" s="6" t="inlineStr">
        <is>
          <t>Standard Deviation</t>
        </is>
      </c>
      <c r="AA1" s="6" t="inlineStr">
        <is>
          <t>Expected Value Contribution per reverse Card</t>
        </is>
      </c>
      <c r="AB1" s="6" t="inlineStr">
        <is>
          <t>Variance Contribution per reverse card</t>
        </is>
      </c>
      <c r="AY1" t="inlineStr">
        <is>
          <t>Mini Tin Price</t>
        </is>
      </c>
    </row>
    <row r="2" ht="17.25" customHeight="1">
      <c r="A2" s="3" t="inlineStr">
        <is>
          <t>Abra</t>
        </is>
      </c>
      <c r="B2" s="3" t="inlineStr">
        <is>
          <t>common</t>
        </is>
      </c>
      <c r="C2" s="3" t="n">
        <v>66</v>
      </c>
      <c r="D2" s="3" t="n">
        <v>0.08</v>
      </c>
      <c r="E2" s="3" t="n">
        <v>0.21</v>
      </c>
      <c r="F2" s="3">
        <f>IF(B2="common", 4, IF(B2="uncommon", 3, IF(B2="rare", 0.73878, 1)))</f>
        <v/>
      </c>
      <c r="G2" s="3">
        <f>SUM(H2:H13)</f>
        <v/>
      </c>
      <c r="H2" s="3">
        <f>SUMPRODUCT((B2:B326="common") *D2:D326 * F2:F326/ C2:C326)</f>
        <v/>
      </c>
      <c r="I2" s="3" t="n">
        <v>10.55</v>
      </c>
      <c r="J2" s="3" t="n">
        <v>73.63</v>
      </c>
      <c r="K2" s="3" t="n">
        <v>318.04</v>
      </c>
      <c r="L2" s="3" t="n">
        <v>15.01</v>
      </c>
      <c r="M2" s="3" t="n"/>
      <c r="N2" s="3" t="n">
        <v>458.44</v>
      </c>
      <c r="R2" s="3" t="n"/>
      <c r="S2" s="3" t="n"/>
      <c r="T2" s="3" t="n"/>
      <c r="U2" s="3" t="n"/>
      <c r="AA2">
        <f>E2 *1.88541666666666</f>
        <v/>
      </c>
      <c r="AB2" s="3">
        <f>1.88541666666666 * (E2  -  AA2)^2</f>
        <v/>
      </c>
      <c r="AC2" s="3" t="n"/>
      <c r="AD2" s="3" t="n"/>
      <c r="AJ2" s="3" t="n"/>
      <c r="AK2" s="3" t="n"/>
      <c r="AL2" s="3" t="n"/>
      <c r="AM2" s="3" t="n"/>
      <c r="AN2" s="3" t="n"/>
      <c r="AT2" s="3" t="n"/>
      <c r="AU2" s="3" t="n"/>
      <c r="AV2" s="3" t="n"/>
      <c r="AW2" s="3" t="n"/>
      <c r="AX2" s="3" t="n"/>
      <c r="AY2" s="3" t="n">
        <v>21.81</v>
      </c>
    </row>
    <row r="3">
      <c r="A3" s="3" t="inlineStr">
        <is>
          <t>Aerodactyl</t>
        </is>
      </c>
      <c r="B3" s="3" t="inlineStr">
        <is>
          <t>rare</t>
        </is>
      </c>
      <c r="C3" s="3" t="n">
        <v>26</v>
      </c>
      <c r="D3" s="3" t="n">
        <v>0.18</v>
      </c>
      <c r="E3" s="3" t="n">
        <v>0.58</v>
      </c>
      <c r="F3" s="3">
        <f>IF(B3="common", 4, IF(B3="uncommon", 3, IF(B3="rare", 0.73878, 1)))</f>
        <v/>
      </c>
      <c r="G3" s="3" t="n"/>
      <c r="H3" s="3">
        <f>SUMPRODUCT((B2:B326="uncommon") *D2:D326 * F2:F326/ C2:C326)</f>
        <v/>
      </c>
      <c r="I3" s="3" t="n"/>
      <c r="J3" s="3" t="n"/>
      <c r="K3" s="3" t="n"/>
      <c r="L3" s="3" t="n"/>
      <c r="M3" s="3" t="n"/>
      <c r="N3" s="3" t="n"/>
      <c r="R3" s="3" t="n"/>
      <c r="S3" s="3" t="n"/>
      <c r="T3" s="3" t="n"/>
      <c r="U3" s="3" t="n"/>
      <c r="AA3">
        <f>E3 *1.88541666666666</f>
        <v/>
      </c>
      <c r="AB3" s="3">
        <f>1.88541666666666 * (E3  -  AA3)^2</f>
        <v/>
      </c>
      <c r="AC3" s="3" t="n"/>
      <c r="AD3" s="3" t="n"/>
      <c r="AJ3" s="3" t="n"/>
      <c r="AK3" s="3" t="n"/>
      <c r="AL3" s="3" t="n"/>
      <c r="AM3" s="3" t="n"/>
      <c r="AN3" s="3" t="n"/>
      <c r="AT3" s="3" t="n"/>
      <c r="AU3" s="3" t="n"/>
      <c r="AV3" s="3" t="n"/>
      <c r="AW3" s="3" t="n"/>
      <c r="AX3" s="3" t="n"/>
      <c r="AY3" s="3" t="n"/>
    </row>
    <row r="4">
      <c r="A4" s="3" t="inlineStr">
        <is>
          <t>Alakazam ex - 065/165</t>
        </is>
      </c>
      <c r="B4" s="3" t="inlineStr">
        <is>
          <t>double rare</t>
        </is>
      </c>
      <c r="C4" s="3" t="n">
        <v>90</v>
      </c>
      <c r="D4" s="3" t="n">
        <v>1.05</v>
      </c>
      <c r="E4" s="3" t="n"/>
      <c r="F4" s="3">
        <f>IF(B4="common", 4, IF(B4="uncommon", 3, IF(B4="rare", 0.73878, 1)))</f>
        <v/>
      </c>
      <c r="G4" s="3" t="n"/>
      <c r="H4" s="3">
        <f>SUMPRODUCT((B2:B326="rare") *D2:D326 * F2:F326/ C2:C326)</f>
        <v/>
      </c>
      <c r="I4" s="3" t="n"/>
      <c r="J4" s="3" t="n"/>
      <c r="K4" s="3" t="n"/>
      <c r="L4" s="3" t="n"/>
      <c r="M4" s="3" t="n"/>
      <c r="N4" s="3" t="n"/>
      <c r="R4" s="3" t="n"/>
      <c r="S4" s="3" t="n"/>
      <c r="T4" s="3" t="n"/>
      <c r="U4" s="3" t="n"/>
      <c r="AA4">
        <f>E4 *1.88541666666666</f>
        <v/>
      </c>
      <c r="AB4" s="3">
        <f>1.88541666666666 * (E4 - AA4)^2</f>
        <v/>
      </c>
      <c r="AC4" s="3" t="n"/>
      <c r="AD4" s="3" t="n"/>
      <c r="AJ4" s="3" t="n"/>
      <c r="AK4" s="3" t="n"/>
      <c r="AL4" s="3" t="n"/>
      <c r="AM4" s="3" t="n"/>
      <c r="AN4" s="3" t="n"/>
      <c r="AT4" s="3" t="n"/>
      <c r="AU4" s="3" t="n"/>
      <c r="AV4" s="3" t="n"/>
      <c r="AW4" s="3" t="n"/>
      <c r="AX4" s="3" t="n"/>
      <c r="AY4" s="3" t="n"/>
    </row>
    <row r="5">
      <c r="A5" s="3" t="inlineStr">
        <is>
          <t>Alakazam ex - 188/165</t>
        </is>
      </c>
      <c r="B5" s="3" t="inlineStr">
        <is>
          <t>ultra rare</t>
        </is>
      </c>
      <c r="C5" s="3" t="n">
        <v>248</v>
      </c>
      <c r="D5" s="3" t="n">
        <v>7.73</v>
      </c>
      <c r="E5" s="3" t="n"/>
      <c r="F5" s="3">
        <f>IF(B5="common", 4, IF(B5="uncommon", 3, IF(B5="rare", 0.73878, 1)))</f>
        <v/>
      </c>
      <c r="G5" s="3" t="n"/>
      <c r="H5" s="3">
        <f>SUMPRODUCT((B2:B326="double rare") *D2:D326 * F2:F326/ C2:C326)</f>
        <v/>
      </c>
      <c r="I5" s="3" t="n"/>
      <c r="J5" s="3" t="n"/>
      <c r="K5" s="3" t="n"/>
      <c r="L5" s="3" t="n"/>
      <c r="M5" s="3" t="n"/>
      <c r="N5" s="3" t="n"/>
      <c r="R5" s="3" t="n"/>
      <c r="S5" s="3" t="n"/>
      <c r="T5" s="3" t="n"/>
      <c r="U5" s="3" t="n"/>
      <c r="AA5">
        <f>E5 *1.88541666666666</f>
        <v/>
      </c>
      <c r="AB5" s="3">
        <f>1.88541666666666 * (E5 - AA5)^2</f>
        <v/>
      </c>
      <c r="AC5" s="3" t="n"/>
      <c r="AD5" s="3" t="n"/>
      <c r="AJ5" s="3" t="n"/>
      <c r="AK5" s="3" t="n"/>
      <c r="AL5" s="3" t="n"/>
      <c r="AM5" s="3" t="n"/>
      <c r="AN5" s="3" t="n"/>
      <c r="AT5" s="3" t="n"/>
      <c r="AU5" s="3" t="n"/>
      <c r="AV5" s="3" t="n"/>
      <c r="AW5" s="3" t="n"/>
      <c r="AX5" s="3" t="n"/>
      <c r="AY5" s="3" t="n"/>
    </row>
    <row r="6">
      <c r="A6" s="3" t="inlineStr">
        <is>
          <t>Alakazam ex - 201/165</t>
        </is>
      </c>
      <c r="B6" s="3" t="inlineStr">
        <is>
          <t>special illustration rare</t>
        </is>
      </c>
      <c r="C6" s="3" t="n">
        <v>225</v>
      </c>
      <c r="D6" s="3" t="n">
        <v>41.69</v>
      </c>
      <c r="E6" s="3" t="n"/>
      <c r="F6" s="3">
        <f>IF(B6="common", 4, IF(B6="uncommon", 3, IF(B6="rare", 0.73878, 1)))</f>
        <v/>
      </c>
      <c r="G6" s="3" t="n"/>
      <c r="H6" s="3">
        <f>SUM(E2:E326) * (1.4349 / COUNTA(E2:E326))</f>
        <v/>
      </c>
      <c r="I6" s="3" t="n"/>
      <c r="J6" s="3" t="n"/>
      <c r="K6" s="3" t="n"/>
      <c r="L6" s="3" t="n"/>
      <c r="M6" s="3" t="n"/>
      <c r="N6" s="3" t="n"/>
      <c r="R6" s="3" t="n"/>
      <c r="S6" s="3" t="n"/>
      <c r="T6" s="3" t="n"/>
      <c r="U6" s="3" t="n"/>
      <c r="AA6">
        <f>E6 *1.88541666666666</f>
        <v/>
      </c>
      <c r="AB6" s="3">
        <f>1.88541666666666 * (E6 - AA6)^2</f>
        <v/>
      </c>
      <c r="AC6" s="3" t="n"/>
      <c r="AD6" s="3" t="n"/>
      <c r="AJ6" s="3" t="n"/>
      <c r="AK6" s="3" t="n"/>
      <c r="AL6" s="3" t="n"/>
      <c r="AM6" s="3" t="n"/>
      <c r="AN6" s="3" t="n"/>
      <c r="AT6" s="3" t="n"/>
      <c r="AU6" s="3" t="n"/>
      <c r="AV6" s="3" t="n"/>
      <c r="AW6" s="3" t="n"/>
      <c r="AX6" s="3" t="n"/>
      <c r="AY6" s="3" t="n"/>
    </row>
    <row r="7">
      <c r="A7" s="3" t="inlineStr">
        <is>
          <t>Antique Dome Fossil</t>
        </is>
      </c>
      <c r="B7" s="3" t="inlineStr">
        <is>
          <t>common</t>
        </is>
      </c>
      <c r="C7" s="3" t="n">
        <v>66</v>
      </c>
      <c r="D7" s="3" t="n">
        <v>0.09</v>
      </c>
      <c r="E7" s="3" t="n">
        <v>0.64</v>
      </c>
      <c r="F7" s="3">
        <f>IF(B7="common", 4, IF(B7="uncommon", 3, IF(B7="rare", 0.73878, 1)))</f>
        <v/>
      </c>
      <c r="G7" s="3" t="n"/>
      <c r="H7" s="3">
        <f>SUMPRODUCT((B2:B326="illustration rare") *D2:D326 * F2:F326 / C2:C326)</f>
        <v/>
      </c>
      <c r="I7" s="3" t="n"/>
      <c r="J7" s="3" t="n"/>
      <c r="K7" s="3" t="n"/>
      <c r="L7" s="3" t="n"/>
      <c r="M7" s="3" t="n"/>
      <c r="N7" s="3" t="n"/>
      <c r="R7" s="3" t="n"/>
      <c r="S7" s="3" t="n"/>
      <c r="T7" s="3" t="n"/>
      <c r="U7" s="3" t="n"/>
      <c r="AA7">
        <f>E7 *1.88541666666666</f>
        <v/>
      </c>
      <c r="AB7" s="3">
        <f>1.88541666666666 * (E7 - AA7)^2</f>
        <v/>
      </c>
      <c r="AC7" s="3" t="n"/>
      <c r="AD7" s="3" t="n"/>
      <c r="AJ7" s="3" t="n"/>
      <c r="AK7" s="3" t="n"/>
      <c r="AL7" s="3" t="n"/>
      <c r="AM7" s="3" t="n"/>
      <c r="AN7" s="3" t="n"/>
      <c r="AT7" s="3" t="n"/>
      <c r="AU7" s="3" t="n"/>
      <c r="AV7" s="3" t="n"/>
      <c r="AW7" s="3" t="n"/>
      <c r="AX7" s="3" t="n"/>
      <c r="AY7" s="3" t="n"/>
    </row>
    <row r="8">
      <c r="A8" s="3" t="inlineStr">
        <is>
          <t>Antique Helix Fossil</t>
        </is>
      </c>
      <c r="B8" s="3" t="inlineStr">
        <is>
          <t>common</t>
        </is>
      </c>
      <c r="C8" s="3" t="n">
        <v>66</v>
      </c>
      <c r="D8" s="3" t="n">
        <v>0.15</v>
      </c>
      <c r="E8" s="3" t="n">
        <v>0.95</v>
      </c>
      <c r="F8" s="3">
        <f>IF(B8="common", 4, IF(B8="uncommon", 3, IF(B8="rare", 0.73878, 1)))</f>
        <v/>
      </c>
      <c r="G8" s="3" t="n"/>
      <c r="H8" s="3">
        <f>SUMPRODUCT((B2:B326="special illustration rare") *D2:D326 * F2:F326 / C2:C326)</f>
        <v/>
      </c>
      <c r="I8" s="3" t="n"/>
      <c r="J8" s="3" t="n"/>
      <c r="K8" s="3" t="n"/>
      <c r="L8" s="3" t="n"/>
      <c r="M8" s="3" t="n"/>
      <c r="N8" s="3" t="n"/>
      <c r="R8" s="3" t="n"/>
      <c r="S8" s="3" t="n"/>
      <c r="T8" s="3" t="n"/>
      <c r="U8" s="3" t="n"/>
      <c r="AA8">
        <f>E8 *1.88541666666666</f>
        <v/>
      </c>
      <c r="AB8" s="3">
        <f>1.88541666666666 * (E8 - AA8)^2</f>
        <v/>
      </c>
      <c r="AC8" s="3" t="n"/>
      <c r="AD8" s="3" t="n"/>
      <c r="AJ8" s="3" t="n"/>
      <c r="AK8" s="3" t="n"/>
      <c r="AL8" s="3" t="n"/>
      <c r="AM8" s="3" t="n"/>
      <c r="AN8" s="3" t="n"/>
      <c r="AT8" s="3" t="n"/>
      <c r="AU8" s="3" t="n"/>
      <c r="AV8" s="3" t="n"/>
      <c r="AW8" s="3" t="n"/>
      <c r="AX8" s="3" t="n"/>
      <c r="AY8" s="3" t="n"/>
    </row>
    <row r="9">
      <c r="A9" s="3" t="inlineStr">
        <is>
          <t>Antique Old Amber</t>
        </is>
      </c>
      <c r="B9" s="3" t="inlineStr">
        <is>
          <t>common</t>
        </is>
      </c>
      <c r="C9" s="3" t="n">
        <v>66</v>
      </c>
      <c r="D9" s="3" t="n">
        <v>0.07000000000000001</v>
      </c>
      <c r="E9" s="3" t="n">
        <v>0.63</v>
      </c>
      <c r="F9" s="3">
        <f>IF(B9="common", 4, IF(B9="uncommon", 3, IF(B9="rare", 0.73878, 1)))</f>
        <v/>
      </c>
      <c r="G9" s="3" t="n"/>
      <c r="H9" s="3">
        <f>SUMPRODUCT((B2:B326="double rare") *D2:D326 * F2:F326 / C2:C326)</f>
        <v/>
      </c>
      <c r="I9" s="3" t="n"/>
      <c r="J9" s="3" t="n"/>
      <c r="K9" s="3" t="n"/>
      <c r="L9" s="3" t="n"/>
      <c r="M9" s="3" t="n"/>
      <c r="N9" s="3" t="n"/>
      <c r="R9" s="3" t="n"/>
      <c r="S9" s="3" t="n"/>
      <c r="T9" s="3" t="n"/>
      <c r="U9" s="3" t="n"/>
      <c r="AA9">
        <f>E9 *1.88541666666666</f>
        <v/>
      </c>
      <c r="AB9" s="3">
        <f>1.88541666666666 * (E9 - AA9)^2</f>
        <v/>
      </c>
      <c r="AC9" s="3" t="n"/>
      <c r="AD9" s="3" t="n"/>
      <c r="AJ9" s="3" t="n"/>
      <c r="AK9" s="3" t="n"/>
      <c r="AL9" s="3" t="n"/>
      <c r="AM9" s="3" t="n"/>
      <c r="AN9" s="3" t="n"/>
      <c r="AT9" s="3" t="n"/>
      <c r="AU9" s="3" t="n"/>
      <c r="AV9" s="3" t="n"/>
      <c r="AW9" s="3" t="n"/>
      <c r="AX9" s="3" t="n"/>
      <c r="AY9" s="3" t="n"/>
    </row>
    <row r="10">
      <c r="A10" s="3" t="inlineStr">
        <is>
          <t>Arbok ex - 024/165</t>
        </is>
      </c>
      <c r="B10" s="3" t="inlineStr">
        <is>
          <t>double rare</t>
        </is>
      </c>
      <c r="C10" s="3" t="n">
        <v>90</v>
      </c>
      <c r="D10" s="3" t="n">
        <v>1.01</v>
      </c>
      <c r="E10" s="3" t="n"/>
      <c r="F10" s="3">
        <f>IF(B10="common", 4, IF(B10="uncommon", 3, IF(B10="rare", 0.73878, 1)))</f>
        <v/>
      </c>
      <c r="G10" s="3" t="n"/>
      <c r="H10" s="3">
        <f>SUMPRODUCT((B2:B326="ultra rare") *D2:D326 * F2:F326 / C2:C326)</f>
        <v/>
      </c>
      <c r="I10" s="3" t="n"/>
      <c r="J10" s="3" t="n"/>
      <c r="K10" s="3" t="n"/>
      <c r="L10" s="3" t="n"/>
      <c r="M10" s="3" t="n"/>
      <c r="N10" s="3" t="n"/>
      <c r="R10" s="3" t="n"/>
      <c r="S10" s="3" t="n"/>
      <c r="T10" s="3" t="n"/>
      <c r="U10" s="3" t="n"/>
      <c r="AA10">
        <f>E10 *1.88541666666666</f>
        <v/>
      </c>
      <c r="AB10" s="3">
        <f>1.88541666666666 * (E10 - AA10)^2</f>
        <v/>
      </c>
      <c r="AC10" s="3" t="n"/>
      <c r="AD10" s="3" t="n"/>
      <c r="AJ10" s="3" t="n"/>
      <c r="AK10" s="3" t="n"/>
      <c r="AL10" s="3" t="n"/>
      <c r="AM10" s="3" t="n"/>
      <c r="AN10" s="3" t="n"/>
      <c r="AT10" s="3" t="n"/>
      <c r="AU10" s="3" t="n"/>
      <c r="AV10" s="3" t="n"/>
      <c r="AW10" s="3" t="n"/>
      <c r="AX10" s="3" t="n"/>
      <c r="AY10" s="3" t="n"/>
    </row>
    <row r="11">
      <c r="A11" s="3" t="inlineStr">
        <is>
          <t>Arbok ex - 185/165</t>
        </is>
      </c>
      <c r="B11" s="3" t="inlineStr">
        <is>
          <t>ultra rare</t>
        </is>
      </c>
      <c r="C11" s="3" t="n">
        <v>248</v>
      </c>
      <c r="D11" s="3" t="n">
        <v>4.52</v>
      </c>
      <c r="E11" s="3" t="n"/>
      <c r="F11" s="3">
        <f>IF(B11="common", 4, IF(B11="uncommon", 3, IF(B11="rare", 0.73878, 1)))</f>
        <v/>
      </c>
      <c r="G11" s="3" t="n"/>
      <c r="H11" s="3">
        <f>SUMPRODUCT((B2:B326="black white rare") *D2:D326 * F2:F326 / C2:C326)</f>
        <v/>
      </c>
      <c r="I11" s="3" t="n"/>
      <c r="J11" s="3" t="n"/>
      <c r="K11" s="3" t="n"/>
      <c r="L11" s="3" t="n"/>
      <c r="M11" s="3" t="n"/>
      <c r="N11" s="3" t="n"/>
      <c r="R11" s="3" t="n"/>
      <c r="S11" s="3" t="n"/>
      <c r="T11" s="3" t="n"/>
      <c r="U11" s="3" t="n"/>
      <c r="AA11">
        <f>E11 *1.88541666666666</f>
        <v/>
      </c>
      <c r="AB11" s="3">
        <f>1.88541666666666 * (E11 - AA11)^2</f>
        <v/>
      </c>
      <c r="AC11" s="3" t="n"/>
      <c r="AD11" s="3" t="n"/>
      <c r="AJ11" s="3" t="n"/>
      <c r="AK11" s="3" t="n"/>
      <c r="AL11" s="3" t="n"/>
      <c r="AM11" s="3" t="n"/>
      <c r="AN11" s="3" t="n"/>
      <c r="AT11" s="3" t="n"/>
      <c r="AU11" s="3" t="n"/>
      <c r="AV11" s="3" t="n"/>
      <c r="AW11" s="3" t="n"/>
      <c r="AX11" s="3" t="n"/>
      <c r="AY11" s="3" t="n"/>
    </row>
    <row r="12">
      <c r="A12" s="3" t="inlineStr">
        <is>
          <t>Arcanine</t>
        </is>
      </c>
      <c r="B12" s="3" t="inlineStr">
        <is>
          <t>uncommon</t>
        </is>
      </c>
      <c r="C12" s="3" t="n">
        <v>62</v>
      </c>
      <c r="D12" s="3" t="n">
        <v>0.11</v>
      </c>
      <c r="E12" s="3" t="n">
        <v>0.23</v>
      </c>
      <c r="F12" s="3">
        <f>IF(B12="common", 4, IF(B12="uncommon", 3, IF(B12="rare", 0.73878, 1)))</f>
        <v/>
      </c>
      <c r="G12" s="3" t="n"/>
      <c r="H12" s="7">
        <f>SUMPRODUCT(
ISNUMBER(SEARCH("Poke Ball Pattern",A2:A326))*
D2:D326*1/C2:C326)</f>
        <v/>
      </c>
      <c r="I12" s="3" t="n"/>
      <c r="J12" s="3" t="n"/>
      <c r="K12" s="3" t="n"/>
      <c r="L12" s="3" t="n"/>
      <c r="M12" s="3" t="n"/>
      <c r="N12" s="3" t="n"/>
      <c r="R12" s="3" t="n"/>
      <c r="S12" s="3" t="n"/>
      <c r="T12" s="3" t="n"/>
      <c r="U12" s="3" t="n"/>
      <c r="AA12">
        <f>E12 *1.88541666666666</f>
        <v/>
      </c>
      <c r="AB12" s="3">
        <f>1.88541666666666 * (E12 - AA12)^2</f>
        <v/>
      </c>
      <c r="AC12" s="3" t="n"/>
      <c r="AD12" s="3" t="n"/>
      <c r="AJ12" s="3" t="n"/>
      <c r="AK12" s="3" t="n"/>
      <c r="AL12" s="3" t="n"/>
      <c r="AM12" s="3" t="n"/>
      <c r="AN12" s="3" t="n"/>
      <c r="AT12" s="3" t="n"/>
      <c r="AU12" s="3" t="n"/>
      <c r="AV12" s="3" t="n"/>
      <c r="AW12" s="3" t="n"/>
      <c r="AX12" s="3" t="n"/>
      <c r="AY12" s="3" t="n"/>
    </row>
    <row r="13">
      <c r="A13" s="3" t="inlineStr">
        <is>
          <t>Articuno</t>
        </is>
      </c>
      <c r="B13" s="3" t="inlineStr">
        <is>
          <t>rare</t>
        </is>
      </c>
      <c r="C13" s="3" t="n">
        <v>26</v>
      </c>
      <c r="D13" s="3" t="n">
        <v>0.19</v>
      </c>
      <c r="E13" s="3" t="n">
        <v>0.6899999999999999</v>
      </c>
      <c r="F13" s="3">
        <f>IF(B13="common", 4, IF(B13="uncommon", 3, IF(B13="rare", 0.73878, 1)))</f>
        <v/>
      </c>
      <c r="G13" s="3" t="n"/>
      <c r="H13" s="3">
        <f>SUMPRODUCT(
ISNUMBER(SEARCH("Master Ball Pattern",A2:A326))*
D2:D326*1/C2:C326)</f>
        <v/>
      </c>
      <c r="I13" s="3" t="n"/>
      <c r="J13" s="3" t="n"/>
      <c r="K13" s="3" t="n"/>
      <c r="L13" s="3" t="n"/>
      <c r="M13" s="3" t="n"/>
      <c r="N13" s="3" t="n"/>
      <c r="R13" s="3" t="n"/>
      <c r="S13" s="3" t="n"/>
      <c r="T13" s="3" t="n"/>
      <c r="U13" s="3" t="n"/>
      <c r="AA13">
        <f>E13 *1.88541666666666</f>
        <v/>
      </c>
      <c r="AB13" s="3">
        <f>1.88541666666666 * (E13 - AA13)^2</f>
        <v/>
      </c>
      <c r="AC13" s="3" t="n"/>
      <c r="AD13" s="3" t="n"/>
      <c r="AJ13" s="3" t="n"/>
      <c r="AK13" s="3" t="n"/>
      <c r="AL13" s="3" t="n"/>
      <c r="AM13" s="3" t="n"/>
      <c r="AN13" s="3" t="n"/>
      <c r="AT13" s="3" t="n"/>
      <c r="AU13" s="3" t="n"/>
      <c r="AV13" s="3" t="n"/>
      <c r="AW13" s="3" t="n"/>
      <c r="AX13" s="3" t="n"/>
      <c r="AY13" s="3" t="n"/>
    </row>
    <row r="14">
      <c r="A14" s="3" t="inlineStr">
        <is>
          <t>Basic Psychic Energy - 207/165</t>
        </is>
      </c>
      <c r="B14" s="3" t="inlineStr">
        <is>
          <t>hyper rare</t>
        </is>
      </c>
      <c r="C14" s="3" t="n">
        <v>154</v>
      </c>
      <c r="D14" s="3" t="n">
        <v>3.59</v>
      </c>
      <c r="E14" s="3" t="n"/>
      <c r="F14" s="3">
        <f>IF(B14="common", 4, IF(B14="uncommon", 3, IF(B14="rare", 0.73878, 1)))</f>
        <v/>
      </c>
      <c r="G14" s="3" t="n"/>
      <c r="H14" s="3" t="n"/>
      <c r="I14" s="3" t="n"/>
      <c r="J14" s="3" t="n"/>
      <c r="K14" s="3" t="n"/>
      <c r="L14" s="3" t="n"/>
      <c r="M14" s="3" t="n"/>
      <c r="N14" s="3" t="n"/>
      <c r="R14" s="3" t="n"/>
      <c r="S14" s="3" t="n"/>
      <c r="T14" s="3" t="n"/>
      <c r="U14" s="3" t="n"/>
      <c r="AA14">
        <f>E14 *1.88541666666666</f>
        <v/>
      </c>
      <c r="AB14" s="3">
        <f>1.88541666666666 * (E14 - AA14)^2</f>
        <v/>
      </c>
      <c r="AC14" s="3" t="n"/>
      <c r="AD14" s="3" t="n"/>
      <c r="AJ14" s="3" t="n"/>
      <c r="AK14" s="3" t="n"/>
      <c r="AL14" s="3" t="n"/>
      <c r="AM14" s="3" t="n"/>
      <c r="AN14" s="3" t="n"/>
      <c r="AT14" s="3" t="n"/>
      <c r="AU14" s="3" t="n"/>
      <c r="AV14" s="3" t="n"/>
      <c r="AW14" s="3" t="n"/>
      <c r="AX14" s="3" t="n"/>
      <c r="AY14" s="3" t="n"/>
    </row>
    <row r="15">
      <c r="A15" s="3" t="inlineStr">
        <is>
          <t>Beedrill</t>
        </is>
      </c>
      <c r="B15" s="3" t="inlineStr">
        <is>
          <t>rare</t>
        </is>
      </c>
      <c r="C15" s="3" t="n">
        <v>26</v>
      </c>
      <c r="D15" s="3" t="n">
        <v>0.16</v>
      </c>
      <c r="E15" s="3" t="n">
        <v>0.7</v>
      </c>
      <c r="F15" s="3">
        <f>IF(B15="common", 4, IF(B15="uncommon", 3, IF(B15="rare", 0.73878, 1)))</f>
        <v/>
      </c>
      <c r="G15" s="3" t="n"/>
      <c r="H15" s="3" t="n"/>
      <c r="I15" s="3" t="n"/>
      <c r="J15" s="3" t="n"/>
      <c r="K15" s="3" t="n"/>
      <c r="L15" s="3" t="n"/>
      <c r="M15" s="3" t="n"/>
      <c r="N15" s="3" t="n"/>
      <c r="R15" s="3" t="n"/>
      <c r="S15" s="3" t="n"/>
      <c r="T15" s="3" t="n"/>
      <c r="U15" s="3" t="n"/>
      <c r="AA15">
        <f>E15 *1.88541666666666</f>
        <v/>
      </c>
      <c r="AB15" s="3">
        <f>1.88541666666666 * (E15 - AA15)^2</f>
        <v/>
      </c>
      <c r="AC15" s="3" t="n"/>
      <c r="AD15" s="3" t="n"/>
      <c r="AJ15" s="3" t="n"/>
      <c r="AK15" s="3" t="n"/>
      <c r="AL15" s="3" t="n"/>
      <c r="AM15" s="3" t="n"/>
      <c r="AN15" s="3" t="n"/>
      <c r="AT15" s="3" t="n"/>
      <c r="AU15" s="3" t="n"/>
      <c r="AV15" s="3" t="n"/>
      <c r="AW15" s="3" t="n"/>
      <c r="AX15" s="3" t="n"/>
      <c r="AY15" s="3" t="n"/>
    </row>
    <row r="16">
      <c r="A16" s="3" t="inlineStr">
        <is>
          <t>Bellsprout</t>
        </is>
      </c>
      <c r="B16" s="3" t="inlineStr">
        <is>
          <t>common</t>
        </is>
      </c>
      <c r="C16" s="3" t="n">
        <v>66</v>
      </c>
      <c r="D16" s="3" t="n">
        <v>0.04</v>
      </c>
      <c r="E16" s="3" t="n">
        <v>0.15</v>
      </c>
      <c r="F16" s="3">
        <f>IF(B16="common", 4, IF(B16="uncommon", 3, IF(B16="rare", 0.73878, 1)))</f>
        <v/>
      </c>
      <c r="G16" s="3" t="n"/>
      <c r="H16" s="3" t="n"/>
      <c r="I16" s="3" t="n"/>
      <c r="J16" s="3" t="n"/>
      <c r="K16" s="3" t="n"/>
      <c r="L16" s="3" t="n"/>
      <c r="M16" s="3" t="n"/>
      <c r="N16" s="3" t="n"/>
      <c r="R16" s="3" t="n"/>
      <c r="S16" s="3" t="n"/>
      <c r="T16" s="3" t="n"/>
      <c r="U16" s="3" t="n"/>
      <c r="AA16">
        <f>E16 *1.88541666666666</f>
        <v/>
      </c>
      <c r="AB16" s="3">
        <f>1.88541666666666 * (E16 - AA16)^2</f>
        <v/>
      </c>
      <c r="AC16" s="3" t="n"/>
      <c r="AD16" s="3" t="n"/>
      <c r="AJ16" s="3" t="n"/>
      <c r="AK16" s="3" t="n"/>
      <c r="AL16" s="3" t="n"/>
      <c r="AM16" s="3" t="n"/>
      <c r="AN16" s="3" t="n"/>
      <c r="AT16" s="3" t="n"/>
      <c r="AU16" s="3" t="n"/>
      <c r="AV16" s="3" t="n"/>
      <c r="AW16" s="3" t="n"/>
      <c r="AX16" s="3" t="n"/>
      <c r="AY16" s="3" t="n"/>
    </row>
    <row r="17">
      <c r="A17" s="3" t="inlineStr">
        <is>
          <t>Big Air Balloon</t>
        </is>
      </c>
      <c r="B17" s="3" t="inlineStr">
        <is>
          <t>uncommon</t>
        </is>
      </c>
      <c r="C17" s="3" t="n">
        <v>62</v>
      </c>
      <c r="D17" s="3" t="n">
        <v>0.12</v>
      </c>
      <c r="E17" s="3" t="n">
        <v>0.82</v>
      </c>
      <c r="F17" s="3">
        <f>IF(B17="common", 4, IF(B17="uncommon", 3, IF(B17="rare", 0.73878, 1)))</f>
        <v/>
      </c>
      <c r="G17" s="3" t="n"/>
      <c r="H17" s="3">
        <f>AVERAGE(E2:E326)</f>
        <v/>
      </c>
      <c r="I17" s="3" t="n"/>
      <c r="J17" s="3" t="n"/>
      <c r="K17" s="3" t="n"/>
      <c r="L17" s="3" t="n"/>
      <c r="M17" s="3" t="n"/>
      <c r="N17" s="3" t="n"/>
      <c r="R17" s="3" t="n"/>
      <c r="S17" s="3" t="n"/>
      <c r="T17" s="3" t="n"/>
      <c r="U17" s="3" t="n"/>
      <c r="AA17">
        <f>E17 *1.88541666666666</f>
        <v/>
      </c>
      <c r="AB17" s="3">
        <f>1.88541666666666 * (E17 - AA17)^2</f>
        <v/>
      </c>
      <c r="AC17" s="3" t="n"/>
      <c r="AD17" s="3" t="n"/>
      <c r="AJ17" s="3" t="n"/>
      <c r="AK17" s="3" t="n"/>
      <c r="AL17" s="3" t="n"/>
      <c r="AM17" s="3" t="n"/>
      <c r="AN17" s="3" t="n"/>
      <c r="AT17" s="3" t="n"/>
      <c r="AU17" s="3" t="n"/>
      <c r="AV17" s="3" t="n"/>
      <c r="AW17" s="3" t="n"/>
      <c r="AX17" s="3" t="n"/>
      <c r="AY17" s="3" t="n"/>
    </row>
    <row r="18">
      <c r="A18" s="3" t="inlineStr">
        <is>
          <t>Bill's Transfer - 156/165</t>
        </is>
      </c>
      <c r="B18" s="3" t="inlineStr">
        <is>
          <t>uncommon</t>
        </is>
      </c>
      <c r="C18" s="3" t="n">
        <v>62</v>
      </c>
      <c r="D18" s="3" t="n">
        <v>0.08</v>
      </c>
      <c r="E18" s="3" t="n">
        <v>0.46</v>
      </c>
      <c r="F18" s="3">
        <f>IF(B18="common", 4, IF(B18="uncommon", 3, IF(B18="rare", 0.73878, 1)))</f>
        <v/>
      </c>
      <c r="G18" s="3" t="n"/>
      <c r="H18" s="3" t="n"/>
      <c r="I18" s="3" t="n"/>
      <c r="J18" s="3" t="n"/>
      <c r="K18" s="3" t="n"/>
      <c r="L18" s="3" t="n"/>
      <c r="M18" s="3" t="n"/>
      <c r="N18" s="3" t="n"/>
      <c r="R18" s="3" t="n"/>
      <c r="S18" s="3" t="n"/>
      <c r="T18" s="3" t="n"/>
      <c r="U18" s="3" t="n"/>
      <c r="AA18">
        <f>E18 *1.88541666666666</f>
        <v/>
      </c>
      <c r="AB18" s="3">
        <f>1.88541666666666 * (E18 - AA18)^2</f>
        <v/>
      </c>
      <c r="AC18" s="3" t="n"/>
      <c r="AD18" s="3" t="n"/>
      <c r="AJ18" s="3" t="n"/>
      <c r="AK18" s="3" t="n"/>
      <c r="AL18" s="3" t="n"/>
      <c r="AM18" s="3" t="n"/>
      <c r="AN18" s="3" t="n"/>
      <c r="AT18" s="3" t="n"/>
      <c r="AU18" s="3" t="n"/>
      <c r="AV18" s="3" t="n"/>
      <c r="AW18" s="3" t="n"/>
      <c r="AX18" s="3" t="n"/>
      <c r="AY18" s="3" t="n"/>
    </row>
    <row r="19">
      <c r="A19" s="3" t="inlineStr">
        <is>
          <t>Bill's Transfer - 194/165</t>
        </is>
      </c>
      <c r="B19" s="3" t="inlineStr">
        <is>
          <t>ultra rare</t>
        </is>
      </c>
      <c r="C19" s="3" t="n">
        <v>248</v>
      </c>
      <c r="D19" s="3" t="n">
        <v>2.51</v>
      </c>
      <c r="E19" s="3" t="n"/>
      <c r="F19" s="3">
        <f>IF(B19="common", 4, IF(B19="uncommon", 3, IF(B19="rare", 0.73878, 1)))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R19" s="3" t="n"/>
      <c r="S19" s="3" t="n"/>
      <c r="T19" s="3" t="n"/>
      <c r="U19" s="3" t="n"/>
      <c r="AA19">
        <f>E19 *1.88541666666666</f>
        <v/>
      </c>
      <c r="AB19" s="3">
        <f>1.88541666666666 * (E19 - AA19)^2</f>
        <v/>
      </c>
      <c r="AC19" s="3" t="n"/>
      <c r="AD19" s="3" t="n"/>
      <c r="AJ19" s="3" t="n"/>
      <c r="AK19" s="3" t="n"/>
      <c r="AL19" s="3" t="n"/>
      <c r="AM19" s="3" t="n"/>
      <c r="AN19" s="3" t="n"/>
      <c r="AT19" s="3" t="n"/>
      <c r="AU19" s="3" t="n"/>
      <c r="AV19" s="3" t="n"/>
      <c r="AW19" s="3" t="n"/>
      <c r="AX19" s="3" t="n"/>
      <c r="AY19" s="3" t="n"/>
    </row>
    <row r="20">
      <c r="A20" s="3" t="inlineStr">
        <is>
          <t>Blastoise ex - 009/165</t>
        </is>
      </c>
      <c r="B20" s="3" t="inlineStr">
        <is>
          <t>double rare</t>
        </is>
      </c>
      <c r="C20" s="3" t="n">
        <v>90</v>
      </c>
      <c r="D20" s="3" t="n">
        <v>0.87</v>
      </c>
      <c r="E20" s="3" t="n"/>
      <c r="F20" s="3">
        <f>IF(B20="common", 4, IF(B20="uncommon", 3, IF(B20="rare", 0.73878, 1)))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R20" s="3" t="n"/>
      <c r="S20" s="3" t="n"/>
      <c r="T20" s="3" t="n"/>
      <c r="U20" s="3" t="n"/>
      <c r="AA20">
        <f>E20 *1.88541666666666</f>
        <v/>
      </c>
      <c r="AB20" s="3">
        <f>1.88541666666666 * (E20 - AA20)^2</f>
        <v/>
      </c>
      <c r="AC20" s="3" t="n"/>
      <c r="AD20" s="3" t="n"/>
      <c r="AJ20" s="3" t="n"/>
      <c r="AK20" s="3" t="n"/>
      <c r="AL20" s="3" t="n"/>
      <c r="AM20" s="3" t="n"/>
      <c r="AN20" s="3" t="n"/>
      <c r="AT20" s="3" t="n"/>
      <c r="AU20" s="3" t="n"/>
      <c r="AV20" s="3" t="n"/>
      <c r="AW20" s="3" t="n"/>
      <c r="AX20" s="3" t="n"/>
      <c r="AY20" s="3" t="n"/>
    </row>
    <row r="21">
      <c r="A21" s="3" t="inlineStr">
        <is>
          <t>Blastoise ex - 184/165</t>
        </is>
      </c>
      <c r="B21" s="3" t="inlineStr">
        <is>
          <t>ultra rare</t>
        </is>
      </c>
      <c r="C21" s="3" t="n">
        <v>248</v>
      </c>
      <c r="D21" s="3" t="n">
        <v>13.7</v>
      </c>
      <c r="E21" s="3" t="n"/>
      <c r="F21" s="3">
        <f>IF(B21="common", 4, IF(B21="uncommon", 3, IF(B21="rare", 0.73878, 1)))</f>
        <v/>
      </c>
      <c r="G21" s="3" t="n"/>
      <c r="H21" s="3">
        <f>COUNTIF(B:B, "common")</f>
        <v/>
      </c>
      <c r="I21" s="3" t="n"/>
      <c r="J21" s="3" t="n"/>
      <c r="K21" s="3" t="n"/>
      <c r="L21" s="3" t="n"/>
      <c r="M21" s="3" t="n"/>
      <c r="N21" s="3" t="n"/>
      <c r="R21" s="3" t="n"/>
      <c r="S21" s="3" t="n"/>
      <c r="T21" s="3" t="n"/>
      <c r="U21" s="3" t="n"/>
      <c r="AA21">
        <f>E21 *1.88541666666666</f>
        <v/>
      </c>
      <c r="AB21" s="3">
        <f>1.88541666666666 * (E21 - AA21)^2</f>
        <v/>
      </c>
      <c r="AC21" s="3" t="n"/>
      <c r="AD21" s="3" t="n"/>
      <c r="AJ21" s="3" t="n"/>
      <c r="AK21" s="3" t="n"/>
      <c r="AL21" s="3" t="n"/>
      <c r="AM21" s="3" t="n"/>
      <c r="AN21" s="3" t="n"/>
      <c r="AT21" s="3" t="n"/>
      <c r="AU21" s="3" t="n"/>
      <c r="AV21" s="3" t="n"/>
      <c r="AW21" s="3" t="n"/>
      <c r="AX21" s="3" t="n"/>
      <c r="AY21" s="3" t="n"/>
    </row>
    <row r="22">
      <c r="A22" s="3" t="inlineStr">
        <is>
          <t>Blastoise ex - 200/165</t>
        </is>
      </c>
      <c r="B22" s="3" t="inlineStr">
        <is>
          <t>special illustration rare</t>
        </is>
      </c>
      <c r="C22" s="3" t="n">
        <v>225</v>
      </c>
      <c r="D22" s="3" t="n">
        <v>68.63</v>
      </c>
      <c r="E22" s="3" t="n"/>
      <c r="F22" s="3">
        <f>IF(B22="common", 4, IF(B22="uncommon", 3, IF(B22="rare", 0.73878, 1)))</f>
        <v/>
      </c>
      <c r="G22" s="3" t="n"/>
      <c r="H22" s="3">
        <f>COUNTIF(B:B, "uncommon")</f>
        <v/>
      </c>
      <c r="I22" s="3" t="n"/>
      <c r="J22" s="3" t="n"/>
      <c r="K22" s="3" t="n"/>
      <c r="L22" s="3" t="n"/>
      <c r="M22" s="3" t="n"/>
      <c r="N22" s="3" t="n"/>
      <c r="R22" s="3" t="n"/>
      <c r="S22" s="3" t="n"/>
      <c r="T22" s="3" t="n"/>
      <c r="U22" s="3" t="n"/>
      <c r="AA22">
        <f>E22 *1.88541666666666</f>
        <v/>
      </c>
      <c r="AB22" s="3">
        <f>1.88541666666666 * (E22 - AA22)^2</f>
        <v/>
      </c>
      <c r="AC22" s="3" t="n"/>
      <c r="AD22" s="3" t="n"/>
      <c r="AJ22" s="3" t="n"/>
      <c r="AK22" s="3" t="n"/>
      <c r="AL22" s="3" t="n"/>
      <c r="AM22" s="3" t="n"/>
      <c r="AN22" s="3" t="n"/>
      <c r="AT22" s="3" t="n"/>
      <c r="AU22" s="3" t="n"/>
      <c r="AV22" s="3" t="n"/>
      <c r="AW22" s="3" t="n"/>
      <c r="AX22" s="3" t="n"/>
      <c r="AY22" s="3" t="n"/>
    </row>
    <row r="23">
      <c r="A23" s="3" t="inlineStr">
        <is>
          <t>Bulbasaur - 001/165</t>
        </is>
      </c>
      <c r="B23" s="3" t="inlineStr">
        <is>
          <t>common</t>
        </is>
      </c>
      <c r="C23" s="3" t="n">
        <v>66</v>
      </c>
      <c r="D23" s="3" t="n">
        <v>0.13</v>
      </c>
      <c r="E23" s="3" t="n">
        <v>0.25</v>
      </c>
      <c r="F23" s="3">
        <f>IF(B23="common", 4, IF(B23="uncommon", 3, IF(B23="rare", 0.73878, 1)))</f>
        <v/>
      </c>
      <c r="G23" s="3" t="n"/>
      <c r="H23" s="3">
        <f>COUNTIF(B:B, "rare")</f>
        <v/>
      </c>
      <c r="I23" s="3" t="n"/>
      <c r="J23" s="3" t="n"/>
      <c r="K23" s="3" t="n"/>
      <c r="L23" s="3" t="n"/>
      <c r="M23" s="3" t="n"/>
      <c r="N23" s="3" t="n"/>
      <c r="R23" s="3" t="n"/>
      <c r="S23" s="3" t="n"/>
      <c r="T23" s="3" t="n"/>
      <c r="U23" s="3" t="n"/>
      <c r="AA23">
        <f>E23 *1.88541666666666</f>
        <v/>
      </c>
      <c r="AB23" s="3">
        <f>1.88541666666666 * (E23 - AA23)^2</f>
        <v/>
      </c>
      <c r="AC23" s="3" t="n"/>
      <c r="AD23" s="3" t="n"/>
      <c r="AJ23" s="3" t="n"/>
      <c r="AK23" s="3" t="n"/>
      <c r="AL23" s="3" t="n"/>
      <c r="AM23" s="3" t="n"/>
      <c r="AN23" s="3" t="n"/>
      <c r="AT23" s="3" t="n"/>
      <c r="AU23" s="3" t="n"/>
      <c r="AV23" s="3" t="n"/>
      <c r="AW23" s="3" t="n"/>
      <c r="AX23" s="3" t="n"/>
      <c r="AY23" s="3" t="n"/>
    </row>
    <row r="24">
      <c r="A24" s="3" t="inlineStr">
        <is>
          <t>Bulbasaur - 166/165</t>
        </is>
      </c>
      <c r="B24" s="3" t="inlineStr">
        <is>
          <t>illustration rare</t>
        </is>
      </c>
      <c r="C24" s="3" t="n">
        <v>188</v>
      </c>
      <c r="D24" s="3" t="n">
        <v>33.2</v>
      </c>
      <c r="E24" s="3" t="n"/>
      <c r="F24" s="3">
        <f>IF(B24="common", 4, IF(B24="uncommon", 3, IF(B24="rare", 0.73878, 1)))</f>
        <v/>
      </c>
      <c r="G24" s="3" t="n"/>
      <c r="H24" s="3" t="n"/>
      <c r="I24" s="3" t="n"/>
      <c r="J24" s="3" t="n"/>
      <c r="K24" s="3" t="n"/>
      <c r="L24" s="3" t="n"/>
      <c r="M24" s="3" t="n"/>
      <c r="N24" s="3" t="n"/>
      <c r="R24" s="3" t="n"/>
      <c r="S24" s="3" t="n"/>
      <c r="T24" s="3" t="n"/>
      <c r="U24" s="3" t="n"/>
      <c r="AA24">
        <f>E24 *1.88541666666666</f>
        <v/>
      </c>
      <c r="AB24" s="3">
        <f>1.88541666666666 * (E24 - AA24)^2</f>
        <v/>
      </c>
      <c r="AC24" s="3" t="n"/>
      <c r="AD24" s="3" t="n"/>
      <c r="AJ24" s="3" t="n"/>
      <c r="AK24" s="3" t="n"/>
      <c r="AL24" s="3" t="n"/>
      <c r="AM24" s="3" t="n"/>
      <c r="AN24" s="3" t="n"/>
      <c r="AT24" s="3" t="n"/>
      <c r="AU24" s="3" t="n"/>
      <c r="AV24" s="3" t="n"/>
      <c r="AW24" s="3" t="n"/>
      <c r="AX24" s="3" t="n"/>
      <c r="AY24" s="3" t="n"/>
    </row>
    <row r="25">
      <c r="A25" s="3" t="inlineStr">
        <is>
          <t>Butterfree</t>
        </is>
      </c>
      <c r="B25" s="3" t="inlineStr">
        <is>
          <t>uncommon</t>
        </is>
      </c>
      <c r="C25" s="3" t="n">
        <v>62</v>
      </c>
      <c r="D25" s="3" t="n">
        <v>0.11</v>
      </c>
      <c r="E25" s="3" t="n">
        <v>0.14</v>
      </c>
      <c r="F25" s="3">
        <f>IF(B25="common", 4, IF(B25="uncommon", 3, IF(B25="rare", 0.73878, 1)))</f>
        <v/>
      </c>
      <c r="G25" s="3" t="n"/>
      <c r="H25" s="3" t="n"/>
      <c r="I25" s="3" t="n"/>
      <c r="J25" s="3" t="n"/>
      <c r="K25" s="3" t="n"/>
      <c r="L25" s="3" t="n"/>
      <c r="M25" s="3" t="n"/>
      <c r="N25" s="3" t="n"/>
      <c r="R25" s="3" t="n"/>
      <c r="S25" s="3" t="n"/>
      <c r="T25" s="3" t="n"/>
      <c r="U25" s="3" t="n"/>
      <c r="AA25">
        <f>E25 *1.88541666666666</f>
        <v/>
      </c>
      <c r="AB25" s="3">
        <f>1.88541666666666 * (E25 - AA25)^2</f>
        <v/>
      </c>
      <c r="AC25" s="3" t="n"/>
      <c r="AD25" s="3" t="n"/>
      <c r="AJ25" s="3" t="n"/>
      <c r="AK25" s="3" t="n"/>
      <c r="AL25" s="3" t="n"/>
      <c r="AM25" s="3" t="n"/>
      <c r="AN25" s="3" t="n"/>
      <c r="AT25" s="3" t="n"/>
      <c r="AU25" s="3" t="n"/>
      <c r="AV25" s="3" t="n"/>
      <c r="AW25" s="3" t="n"/>
      <c r="AX25" s="3" t="n"/>
      <c r="AY25" s="3" t="n"/>
    </row>
    <row r="26">
      <c r="A26" s="3" t="inlineStr">
        <is>
          <t>Caterpie - 010/165</t>
        </is>
      </c>
      <c r="B26" s="3" t="inlineStr">
        <is>
          <t>common</t>
        </is>
      </c>
      <c r="C26" s="3" t="n">
        <v>66</v>
      </c>
      <c r="D26" s="3" t="n">
        <v>0.09</v>
      </c>
      <c r="E26" s="3" t="n">
        <v>0.15</v>
      </c>
      <c r="F26" s="3">
        <f>IF(B26="common", 4, IF(B26="uncommon", 3, IF(B26="rare", 0.73878, 1)))</f>
        <v/>
      </c>
      <c r="G26" s="3" t="n"/>
      <c r="H26" s="3" t="n"/>
      <c r="I26" s="3" t="n"/>
      <c r="J26" s="3" t="n"/>
      <c r="K26" s="3" t="n"/>
      <c r="L26" s="3" t="n"/>
      <c r="M26" s="3" t="n"/>
      <c r="N26" s="3" t="n"/>
      <c r="R26" s="3" t="n"/>
      <c r="S26" s="3" t="n"/>
      <c r="T26" s="3" t="n"/>
      <c r="U26" s="3" t="n"/>
      <c r="AA26">
        <f>E26 *1.88541666666666</f>
        <v/>
      </c>
      <c r="AB26" s="3">
        <f>1.88541666666666 * (E26 - AA26)^2</f>
        <v/>
      </c>
      <c r="AC26" s="3" t="n"/>
      <c r="AD26" s="3" t="n"/>
      <c r="AJ26" s="3" t="n"/>
      <c r="AK26" s="3" t="n"/>
      <c r="AL26" s="3" t="n"/>
      <c r="AM26" s="3" t="n"/>
      <c r="AN26" s="3" t="n"/>
      <c r="AT26" s="3" t="n"/>
      <c r="AU26" s="3" t="n"/>
      <c r="AV26" s="3" t="n"/>
      <c r="AW26" s="3" t="n"/>
      <c r="AX26" s="3" t="n"/>
      <c r="AY26" s="3" t="n"/>
    </row>
    <row r="27">
      <c r="A27" s="3" t="inlineStr">
        <is>
          <t>Caterpie - 172/165</t>
        </is>
      </c>
      <c r="B27" s="3" t="inlineStr">
        <is>
          <t>illustration rare</t>
        </is>
      </c>
      <c r="C27" s="3" t="n">
        <v>188</v>
      </c>
      <c r="D27" s="3" t="n">
        <v>8.550000000000001</v>
      </c>
      <c r="E27" s="3" t="n"/>
      <c r="F27" s="3">
        <f>IF(B27="common", 4, IF(B27="uncommon", 3, IF(B27="rare", 0.73878, 1)))</f>
        <v/>
      </c>
      <c r="G27" s="3" t="n"/>
      <c r="H27" s="3" t="n"/>
      <c r="I27" s="3" t="n"/>
      <c r="J27" s="3" t="n"/>
      <c r="K27" s="3" t="n"/>
      <c r="L27" s="3" t="n"/>
      <c r="M27" s="3" t="n"/>
      <c r="N27" s="3" t="n"/>
      <c r="R27" s="3" t="n"/>
      <c r="S27" s="3" t="n"/>
      <c r="T27" s="3" t="n"/>
      <c r="U27" s="3" t="n"/>
      <c r="AA27">
        <f>E27 *1.88541666666666</f>
        <v/>
      </c>
      <c r="AB27" s="3">
        <f>1.88541666666666 * (E27 - AA27)^2</f>
        <v/>
      </c>
      <c r="AC27" s="3" t="n"/>
      <c r="AD27" s="3" t="n"/>
      <c r="AJ27" s="3" t="n"/>
      <c r="AK27" s="3" t="n"/>
      <c r="AL27" s="3" t="n"/>
      <c r="AM27" s="3" t="n"/>
      <c r="AN27" s="3" t="n"/>
      <c r="AT27" s="3" t="n"/>
      <c r="AU27" s="3" t="n"/>
      <c r="AV27" s="3" t="n"/>
      <c r="AW27" s="3" t="n"/>
      <c r="AX27" s="3" t="n"/>
      <c r="AY27" s="3" t="n"/>
    </row>
    <row r="28">
      <c r="A28" s="3" t="inlineStr">
        <is>
          <t>Chansey</t>
        </is>
      </c>
      <c r="B28" s="3" t="inlineStr">
        <is>
          <t>rare</t>
        </is>
      </c>
      <c r="C28" s="3" t="n">
        <v>26</v>
      </c>
      <c r="D28" s="3" t="n">
        <v>0.17</v>
      </c>
      <c r="E28" s="3" t="n">
        <v>0.96</v>
      </c>
      <c r="F28" s="3">
        <f>IF(B28="common", 4, IF(B28="uncommon", 3, IF(B28="rare", 0.73878, 1)))</f>
        <v/>
      </c>
      <c r="G28" s="3" t="n"/>
      <c r="H28" s="3" t="n"/>
      <c r="I28" s="3" t="n"/>
      <c r="J28" s="3" t="n"/>
      <c r="K28" s="3" t="n"/>
      <c r="L28" s="3" t="n"/>
      <c r="M28" s="3" t="n"/>
      <c r="N28" s="3" t="n"/>
      <c r="R28" s="3" t="n"/>
      <c r="S28" s="3" t="n"/>
      <c r="T28" s="3" t="n"/>
      <c r="U28" s="3" t="n"/>
      <c r="AA28">
        <f>E28 *1.88541666666666</f>
        <v/>
      </c>
      <c r="AB28" s="3">
        <f>1.88541666666666 * (E28 - AA28)^2</f>
        <v/>
      </c>
      <c r="AC28" s="3" t="n"/>
      <c r="AD28" s="3" t="n"/>
      <c r="AJ28" s="3" t="n"/>
      <c r="AK28" s="3" t="n"/>
      <c r="AL28" s="3" t="n"/>
      <c r="AM28" s="3" t="n"/>
      <c r="AN28" s="3" t="n"/>
      <c r="AT28" s="3" t="n"/>
      <c r="AU28" s="3" t="n"/>
      <c r="AV28" s="3" t="n"/>
      <c r="AW28" s="3" t="n"/>
      <c r="AX28" s="3" t="n"/>
      <c r="AY28" s="3" t="n"/>
    </row>
    <row r="29">
      <c r="A29" s="3" t="inlineStr">
        <is>
          <t>Charizard ex - 006/165</t>
        </is>
      </c>
      <c r="B29" s="3" t="inlineStr">
        <is>
          <t>double rare</t>
        </is>
      </c>
      <c r="C29" s="3" t="n">
        <v>90</v>
      </c>
      <c r="D29" s="3" t="n">
        <v>4.08</v>
      </c>
      <c r="E29" s="3" t="n"/>
      <c r="F29" s="3">
        <f>IF(B29="common", 4, IF(B29="uncommon", 3, IF(B29="rare", 0.73878, 1)))</f>
        <v/>
      </c>
      <c r="G29" s="3" t="n"/>
      <c r="H29" s="3" t="n"/>
      <c r="I29" s="3" t="n"/>
      <c r="J29" s="3" t="n"/>
      <c r="K29" s="3" t="n"/>
      <c r="L29" s="3" t="n"/>
      <c r="M29" s="3" t="n"/>
      <c r="N29" s="3" t="n"/>
      <c r="R29" s="3" t="n"/>
      <c r="S29" s="3" t="n"/>
      <c r="T29" s="3" t="n"/>
      <c r="U29" s="3" t="n"/>
      <c r="AA29">
        <f>E29 *1.88541666666666</f>
        <v/>
      </c>
      <c r="AB29" s="3">
        <f>1.88541666666666 * (E29 - AA29)^2</f>
        <v/>
      </c>
      <c r="AC29" s="3" t="n"/>
      <c r="AD29" s="3" t="n"/>
      <c r="AJ29" s="3" t="n"/>
      <c r="AK29" s="3" t="n"/>
      <c r="AL29" s="3" t="n"/>
      <c r="AM29" s="3" t="n"/>
      <c r="AN29" s="3" t="n"/>
      <c r="AT29" s="3" t="n"/>
      <c r="AU29" s="3" t="n"/>
      <c r="AV29" s="3" t="n"/>
      <c r="AW29" s="3" t="n"/>
      <c r="AX29" s="3" t="n"/>
      <c r="AY29" s="3" t="n"/>
    </row>
    <row r="30">
      <c r="A30" s="3" t="inlineStr">
        <is>
          <t>Charizard ex - 183/165</t>
        </is>
      </c>
      <c r="B30" s="3" t="inlineStr">
        <is>
          <t>ultra rare</t>
        </is>
      </c>
      <c r="C30" s="3" t="n">
        <v>248</v>
      </c>
      <c r="D30" s="3" t="n">
        <v>26.99</v>
      </c>
      <c r="E30" s="3" t="n"/>
      <c r="F30" s="3">
        <f>IF(B30="common", 4, IF(B30="uncommon", 3, IF(B30="rare", 0.73878, 1)))</f>
        <v/>
      </c>
      <c r="G30" s="3" t="n"/>
      <c r="H30" s="3" t="n"/>
      <c r="I30" s="3" t="n"/>
      <c r="J30" s="3" t="n"/>
      <c r="K30" s="3" t="n"/>
      <c r="L30" s="3" t="n"/>
      <c r="M30" s="3" t="n"/>
      <c r="N30" s="3" t="n"/>
      <c r="R30" s="3" t="n"/>
      <c r="S30" s="3" t="n"/>
      <c r="T30" s="3" t="n"/>
      <c r="U30" s="3" t="n"/>
      <c r="AA30">
        <f>E30 *1.88541666666666</f>
        <v/>
      </c>
      <c r="AB30" s="3">
        <f>1.88541666666666 * (E30 - AA30)^2</f>
        <v/>
      </c>
      <c r="AC30" s="3" t="n"/>
      <c r="AD30" s="3" t="n"/>
      <c r="AJ30" s="3" t="n"/>
      <c r="AK30" s="3" t="n"/>
      <c r="AL30" s="3" t="n"/>
      <c r="AM30" s="3" t="n"/>
      <c r="AN30" s="3" t="n"/>
      <c r="AT30" s="3" t="n"/>
      <c r="AU30" s="3" t="n"/>
      <c r="AV30" s="3" t="n"/>
      <c r="AW30" s="3" t="n"/>
      <c r="AX30" s="3" t="n"/>
      <c r="AY30" s="3" t="n"/>
    </row>
    <row r="31">
      <c r="A31" s="3" t="inlineStr">
        <is>
          <t>Charizard ex - 199/165</t>
        </is>
      </c>
      <c r="B31" s="3" t="inlineStr">
        <is>
          <t>special illustration rare</t>
        </is>
      </c>
      <c r="C31" s="3" t="n">
        <v>225</v>
      </c>
      <c r="D31" s="3" t="n">
        <v>211.83</v>
      </c>
      <c r="E31" s="3" t="n"/>
      <c r="F31" s="3">
        <f>IF(B31="common", 4, IF(B31="uncommon", 3, IF(B31="rare", 0.73878, 1)))</f>
        <v/>
      </c>
      <c r="G31" s="3" t="n"/>
      <c r="H31" s="3" t="n"/>
      <c r="I31" s="3" t="n"/>
      <c r="J31" s="3" t="n"/>
      <c r="K31" s="3" t="n"/>
      <c r="L31" s="3" t="n"/>
      <c r="M31" s="3" t="n"/>
      <c r="N31" s="3" t="n"/>
      <c r="R31" s="3" t="n"/>
      <c r="S31" s="3" t="n"/>
      <c r="T31" s="3" t="n"/>
      <c r="U31" s="3" t="n"/>
      <c r="AA31">
        <f>E31 *1.88541666666666</f>
        <v/>
      </c>
      <c r="AB31" s="3">
        <f>1.88541666666666 * (E31 - AA31)^2</f>
        <v/>
      </c>
      <c r="AC31" s="3" t="n"/>
      <c r="AD31" s="3" t="n"/>
      <c r="AJ31" s="3" t="n"/>
      <c r="AK31" s="3" t="n"/>
      <c r="AL31" s="3" t="n"/>
      <c r="AM31" s="3" t="n"/>
      <c r="AN31" s="3" t="n"/>
      <c r="AT31" s="3" t="n"/>
      <c r="AU31" s="3" t="n"/>
      <c r="AV31" s="3" t="n"/>
      <c r="AW31" s="3" t="n"/>
      <c r="AX31" s="3" t="n"/>
      <c r="AY31" s="3" t="n"/>
    </row>
    <row r="32">
      <c r="A32" s="3" t="inlineStr">
        <is>
          <t>Charmander - 004/165</t>
        </is>
      </c>
      <c r="B32" s="3" t="inlineStr">
        <is>
          <t>common</t>
        </is>
      </c>
      <c r="C32" s="3" t="n">
        <v>66</v>
      </c>
      <c r="D32" s="3" t="n">
        <v>0.11</v>
      </c>
      <c r="E32" s="3" t="n">
        <v>0.23</v>
      </c>
      <c r="F32" s="3">
        <f>IF(B32="common", 4, IF(B32="uncommon", 3, IF(B32="rare", 0.73878, 1)))</f>
        <v/>
      </c>
      <c r="G32" s="3" t="n"/>
      <c r="H32" s="3" t="n"/>
      <c r="I32" s="3" t="n"/>
      <c r="J32" s="3" t="n"/>
      <c r="K32" s="3" t="n"/>
      <c r="L32" s="3" t="n"/>
      <c r="M32" s="3" t="n"/>
      <c r="N32" s="3" t="n"/>
      <c r="R32" s="3" t="n"/>
      <c r="S32" s="3" t="n"/>
      <c r="T32" s="3" t="n"/>
      <c r="U32" s="3" t="n"/>
      <c r="AA32">
        <f>E32 *1.88541666666666</f>
        <v/>
      </c>
      <c r="AB32" s="3">
        <f>1.88541666666666 * (E32 - AA32)^2</f>
        <v/>
      </c>
      <c r="AC32" s="3" t="n"/>
      <c r="AD32" s="3" t="n"/>
      <c r="AJ32" s="3" t="n"/>
      <c r="AK32" s="3" t="n"/>
      <c r="AL32" s="3" t="n"/>
      <c r="AM32" s="3" t="n"/>
      <c r="AN32" s="3" t="n"/>
      <c r="AT32" s="3" t="n"/>
      <c r="AU32" s="3" t="n"/>
      <c r="AV32" s="3" t="n"/>
      <c r="AW32" s="3" t="n"/>
      <c r="AX32" s="3" t="n"/>
      <c r="AY32" s="3" t="n"/>
    </row>
    <row r="33">
      <c r="A33" s="3" t="inlineStr">
        <is>
          <t>Charmander - 168/165</t>
        </is>
      </c>
      <c r="B33" s="3" t="inlineStr">
        <is>
          <t>illustration rare</t>
        </is>
      </c>
      <c r="C33" s="3" t="n">
        <v>188</v>
      </c>
      <c r="D33" s="3" t="n">
        <v>44.02</v>
      </c>
      <c r="E33" s="3" t="n"/>
      <c r="F33" s="3">
        <f>IF(B33="common", 4, IF(B33="uncommon", 3, IF(B33="rare", 0.73878, 1)))</f>
        <v/>
      </c>
      <c r="G33" s="3" t="n"/>
      <c r="H33" s="3" t="n"/>
      <c r="I33" s="3" t="n"/>
      <c r="J33" s="3" t="n"/>
      <c r="K33" s="3" t="n"/>
      <c r="L33" s="3" t="n"/>
      <c r="M33" s="3" t="n"/>
      <c r="N33" s="3" t="n"/>
      <c r="R33" s="3" t="n"/>
      <c r="S33" s="3" t="n"/>
      <c r="T33" s="3" t="n"/>
      <c r="U33" s="3" t="n"/>
      <c r="AA33">
        <f>E33 *1.88541666666666</f>
        <v/>
      </c>
      <c r="AB33" s="3">
        <f>1.88541666666666 * (E33 - AA33)^2</f>
        <v/>
      </c>
      <c r="AC33" s="3" t="n"/>
      <c r="AD33" s="3" t="n"/>
      <c r="AJ33" s="3" t="n"/>
      <c r="AK33" s="3" t="n"/>
      <c r="AL33" s="3" t="n"/>
      <c r="AM33" s="3" t="n"/>
      <c r="AN33" s="3" t="n"/>
      <c r="AT33" s="3" t="n"/>
      <c r="AU33" s="3" t="n"/>
      <c r="AV33" s="3" t="n"/>
      <c r="AW33" s="3" t="n"/>
      <c r="AX33" s="3" t="n"/>
      <c r="AY33" s="3" t="n"/>
    </row>
    <row r="34">
      <c r="A34" s="3" t="inlineStr">
        <is>
          <t>Charmeleon - 005/165</t>
        </is>
      </c>
      <c r="B34" s="3" t="inlineStr">
        <is>
          <t>uncommon</t>
        </is>
      </c>
      <c r="C34" s="3" t="n">
        <v>62</v>
      </c>
      <c r="D34" s="3" t="n">
        <v>0.13</v>
      </c>
      <c r="E34" s="3" t="n">
        <v>0.26</v>
      </c>
      <c r="F34" s="3">
        <f>IF(B34="common", 4, IF(B34="uncommon", 3, IF(B34="rare", 0.73878, 1)))</f>
        <v/>
      </c>
      <c r="G34" s="3" t="n"/>
      <c r="H34" s="3" t="n"/>
      <c r="I34" s="3" t="n"/>
      <c r="J34" s="3" t="n"/>
      <c r="K34" s="3" t="n"/>
      <c r="L34" s="3" t="n"/>
      <c r="M34" s="3" t="n"/>
      <c r="N34" s="3" t="n"/>
      <c r="R34" s="3" t="n"/>
      <c r="S34" s="3" t="n"/>
      <c r="T34" s="3" t="n"/>
      <c r="U34" s="3" t="n"/>
      <c r="AA34">
        <f>E34 *1.88541666666666</f>
        <v/>
      </c>
      <c r="AB34" s="3">
        <f>1.88541666666666 * (E34 - AA34)^2</f>
        <v/>
      </c>
      <c r="AC34" s="3" t="n"/>
      <c r="AD34" s="3" t="n"/>
      <c r="AJ34" s="3" t="n"/>
      <c r="AK34" s="3" t="n"/>
      <c r="AL34" s="3" t="n"/>
      <c r="AM34" s="3" t="n"/>
      <c r="AN34" s="3" t="n"/>
      <c r="AT34" s="3" t="n"/>
      <c r="AU34" s="3" t="n"/>
      <c r="AV34" s="3" t="n"/>
      <c r="AW34" s="3" t="n"/>
      <c r="AX34" s="3" t="n"/>
      <c r="AY34" s="3" t="n"/>
    </row>
    <row r="35">
      <c r="A35" s="3" t="inlineStr">
        <is>
          <t>Charmeleon - 169/165</t>
        </is>
      </c>
      <c r="B35" s="3" t="inlineStr">
        <is>
          <t>illustration rare</t>
        </is>
      </c>
      <c r="C35" s="3" t="n">
        <v>188</v>
      </c>
      <c r="D35" s="3" t="n">
        <v>31.83</v>
      </c>
      <c r="E35" s="3" t="n"/>
      <c r="F35" s="3">
        <f>IF(B35="common", 4, IF(B35="uncommon", 3, IF(B35="rare", 0.73878, 1)))</f>
        <v/>
      </c>
      <c r="G35" s="3" t="n"/>
      <c r="H35" s="3" t="n"/>
      <c r="I35" s="3" t="n"/>
      <c r="J35" s="3" t="n"/>
      <c r="K35" s="3" t="n"/>
      <c r="L35" s="3" t="n"/>
      <c r="M35" s="3" t="n"/>
      <c r="N35" s="3" t="n"/>
      <c r="R35" s="3" t="n"/>
      <c r="S35" s="3" t="n"/>
      <c r="T35" s="3" t="n"/>
      <c r="U35" s="3" t="n"/>
      <c r="AA35">
        <f>E35 *1.88541666666666</f>
        <v/>
      </c>
      <c r="AB35" s="3">
        <f>1.88541666666666 * (E35 - AA35)^2</f>
        <v/>
      </c>
      <c r="AC35" s="3" t="n"/>
      <c r="AD35" s="3" t="n"/>
      <c r="AJ35" s="3" t="n"/>
      <c r="AK35" s="3" t="n"/>
      <c r="AL35" s="3" t="n"/>
      <c r="AM35" s="3" t="n"/>
      <c r="AN35" s="3" t="n"/>
      <c r="AT35" s="3" t="n"/>
      <c r="AU35" s="3" t="n"/>
      <c r="AV35" s="3" t="n"/>
      <c r="AW35" s="3" t="n"/>
      <c r="AX35" s="3" t="n"/>
      <c r="AY35" s="3" t="n"/>
    </row>
    <row r="36">
      <c r="A36" s="3" t="inlineStr">
        <is>
          <t>Clefable</t>
        </is>
      </c>
      <c r="B36" s="3" t="inlineStr">
        <is>
          <t>uncommon</t>
        </is>
      </c>
      <c r="C36" s="3" t="n">
        <v>62</v>
      </c>
      <c r="D36" s="3" t="n">
        <v>0.1</v>
      </c>
      <c r="E36" s="3" t="n">
        <v>0.2</v>
      </c>
      <c r="F36" s="3">
        <f>IF(B36="common", 4, IF(B36="uncommon", 3, IF(B36="rare", 0.73878, 1)))</f>
        <v/>
      </c>
      <c r="G36" s="3" t="n"/>
      <c r="H36" s="3" t="n"/>
      <c r="I36" s="3" t="n"/>
      <c r="J36" s="3" t="n"/>
      <c r="K36" s="3" t="n"/>
      <c r="L36" s="3" t="n"/>
      <c r="M36" s="3" t="n"/>
      <c r="N36" s="3" t="n"/>
      <c r="R36" s="3" t="n"/>
      <c r="S36" s="3" t="n"/>
      <c r="T36" s="3" t="n"/>
      <c r="U36" s="3" t="n"/>
      <c r="AA36">
        <f>E36 *1.88541666666666</f>
        <v/>
      </c>
      <c r="AB36" s="3">
        <f>1.88541666666666 * (E36 - AA36)^2</f>
        <v/>
      </c>
      <c r="AC36" s="3" t="n"/>
      <c r="AD36" s="3" t="n"/>
      <c r="AJ36" s="3" t="n"/>
      <c r="AK36" s="3" t="n"/>
      <c r="AL36" s="3" t="n"/>
      <c r="AM36" s="3" t="n"/>
      <c r="AN36" s="3" t="n"/>
      <c r="AT36" s="3" t="n"/>
      <c r="AU36" s="3" t="n"/>
      <c r="AV36" s="3" t="n"/>
      <c r="AW36" s="3" t="n"/>
      <c r="AX36" s="3" t="n"/>
      <c r="AY36" s="3" t="n"/>
    </row>
    <row r="37">
      <c r="A37" s="3" t="inlineStr">
        <is>
          <t>Clefairy</t>
        </is>
      </c>
      <c r="B37" s="3" t="inlineStr">
        <is>
          <t>common</t>
        </is>
      </c>
      <c r="C37" s="3" t="n">
        <v>66</v>
      </c>
      <c r="D37" s="3" t="n">
        <v>0.08</v>
      </c>
      <c r="E37" s="3" t="n">
        <v>0.17</v>
      </c>
      <c r="F37" s="3">
        <f>IF(B37="common", 4, IF(B37="uncommon", 3, IF(B37="rare", 0.73878, 1)))</f>
        <v/>
      </c>
      <c r="G37" s="3" t="n"/>
      <c r="H37" s="3" t="n"/>
      <c r="I37" s="3" t="n"/>
      <c r="J37" s="3" t="n"/>
      <c r="K37" s="3" t="n"/>
      <c r="L37" s="3" t="n"/>
      <c r="M37" s="3" t="n"/>
      <c r="N37" s="3" t="n"/>
      <c r="R37" s="3" t="n"/>
      <c r="S37" s="3" t="n"/>
      <c r="T37" s="3" t="n"/>
      <c r="U37" s="3" t="n"/>
      <c r="AA37">
        <f>E37 *1.88541666666666</f>
        <v/>
      </c>
      <c r="AB37" s="3">
        <f>1.88541666666666 * (E37 - AA37)^2</f>
        <v/>
      </c>
      <c r="AC37" s="3" t="n"/>
      <c r="AD37" s="3" t="n"/>
      <c r="AJ37" s="3" t="n"/>
      <c r="AK37" s="3" t="n"/>
      <c r="AL37" s="3" t="n"/>
      <c r="AM37" s="3" t="n"/>
      <c r="AN37" s="3" t="n"/>
      <c r="AT37" s="3" t="n"/>
      <c r="AU37" s="3" t="n"/>
      <c r="AV37" s="3" t="n"/>
      <c r="AW37" s="3" t="n"/>
      <c r="AX37" s="3" t="n"/>
      <c r="AY37" s="3" t="n"/>
    </row>
    <row r="38">
      <c r="A38" s="3" t="inlineStr">
        <is>
          <t>Cloyster</t>
        </is>
      </c>
      <c r="B38" s="3" t="inlineStr">
        <is>
          <t>uncommon</t>
        </is>
      </c>
      <c r="C38" s="3" t="n">
        <v>62</v>
      </c>
      <c r="D38" s="3" t="n">
        <v>0.07000000000000001</v>
      </c>
      <c r="E38" s="3" t="n">
        <v>0.14</v>
      </c>
      <c r="F38" s="3">
        <f>IF(B38="common", 4, IF(B38="uncommon", 3, IF(B38="rare", 0.73878, 1)))</f>
        <v/>
      </c>
      <c r="G38" s="3" t="n"/>
      <c r="H38" s="3" t="n"/>
      <c r="I38" s="3" t="n"/>
      <c r="J38" s="3" t="n"/>
      <c r="K38" s="3" t="n"/>
      <c r="L38" s="3" t="n"/>
      <c r="M38" s="3" t="n"/>
      <c r="N38" s="3" t="n"/>
      <c r="R38" s="3" t="n"/>
      <c r="S38" s="3" t="n"/>
      <c r="T38" s="3" t="n"/>
      <c r="U38" s="3" t="n"/>
      <c r="AA38">
        <f>E38 *1.88541666666666</f>
        <v/>
      </c>
      <c r="AB38" s="3">
        <f>1.88541666666666 * (E38 - AA38)^2</f>
        <v/>
      </c>
      <c r="AC38" s="3" t="n"/>
      <c r="AD38" s="3" t="n"/>
      <c r="AJ38" s="3" t="n"/>
      <c r="AK38" s="3" t="n"/>
      <c r="AL38" s="3" t="n"/>
      <c r="AM38" s="3" t="n"/>
      <c r="AN38" s="3" t="n"/>
      <c r="AT38" s="3" t="n"/>
      <c r="AU38" s="3" t="n"/>
      <c r="AV38" s="3" t="n"/>
      <c r="AW38" s="3" t="n"/>
      <c r="AX38" s="3" t="n"/>
      <c r="AY38" s="3" t="n"/>
    </row>
    <row r="39">
      <c r="A39" s="3" t="inlineStr">
        <is>
          <t>Cubone</t>
        </is>
      </c>
      <c r="B39" s="3" t="inlineStr">
        <is>
          <t>common</t>
        </is>
      </c>
      <c r="C39" s="3" t="n">
        <v>66</v>
      </c>
      <c r="D39" s="3" t="n">
        <v>0.05</v>
      </c>
      <c r="E39" s="3" t="n">
        <v>0.18</v>
      </c>
      <c r="F39" s="3">
        <f>IF(B39="common", 4, IF(B39="uncommon", 3, IF(B39="rare", 0.73878, 1)))</f>
        <v/>
      </c>
      <c r="G39" s="3" t="n"/>
      <c r="H39" s="3" t="n"/>
      <c r="I39" s="3" t="n"/>
      <c r="J39" s="3" t="n"/>
      <c r="K39" s="3" t="n"/>
      <c r="L39" s="3" t="n"/>
      <c r="M39" s="3" t="n"/>
      <c r="N39" s="3" t="n"/>
      <c r="R39" s="3" t="n"/>
      <c r="S39" s="3" t="n"/>
      <c r="T39" s="3" t="n"/>
      <c r="U39" s="3" t="n"/>
      <c r="AA39">
        <f>E39 *1.88541666666666</f>
        <v/>
      </c>
      <c r="AB39" s="3">
        <f>1.88541666666666 * (E39 - AA39)^2</f>
        <v/>
      </c>
      <c r="AC39" s="3" t="n"/>
      <c r="AD39" s="3" t="n"/>
      <c r="AJ39" s="3" t="n"/>
      <c r="AK39" s="3" t="n"/>
      <c r="AL39" s="3" t="n"/>
      <c r="AM39" s="3" t="n"/>
      <c r="AN39" s="3" t="n"/>
      <c r="AT39" s="3" t="n"/>
      <c r="AU39" s="3" t="n"/>
      <c r="AV39" s="3" t="n"/>
      <c r="AW39" s="3" t="n"/>
      <c r="AX39" s="3" t="n"/>
      <c r="AY39" s="3" t="n"/>
    </row>
    <row r="40">
      <c r="A40" s="3" t="inlineStr">
        <is>
          <t>Cycling Road</t>
        </is>
      </c>
      <c r="B40" s="3" t="inlineStr">
        <is>
          <t>uncommon</t>
        </is>
      </c>
      <c r="C40" s="3" t="n">
        <v>62</v>
      </c>
      <c r="D40" s="3" t="n">
        <v>0.08</v>
      </c>
      <c r="E40" s="3" t="n">
        <v>0.62</v>
      </c>
      <c r="F40" s="3">
        <f>IF(B40="common", 4, IF(B40="uncommon", 3, IF(B40="rare", 0.73878, 1)))</f>
        <v/>
      </c>
      <c r="G40" s="3" t="n"/>
      <c r="H40" s="3" t="n"/>
      <c r="I40" s="3" t="n"/>
      <c r="J40" s="3" t="n"/>
      <c r="K40" s="3" t="n"/>
      <c r="L40" s="3" t="n"/>
      <c r="M40" s="3" t="n"/>
      <c r="N40" s="3" t="n"/>
      <c r="R40" s="3" t="n"/>
      <c r="S40" s="3" t="n"/>
      <c r="T40" s="3" t="n"/>
      <c r="U40" s="3" t="n"/>
      <c r="AA40">
        <f>E40 *1.88541666666666</f>
        <v/>
      </c>
      <c r="AB40" s="3">
        <f>1.88541666666666 * (E40 - AA40)^2</f>
        <v/>
      </c>
      <c r="AC40" s="3" t="n"/>
      <c r="AD40" s="3" t="n"/>
      <c r="AJ40" s="3" t="n"/>
      <c r="AK40" s="3" t="n"/>
      <c r="AL40" s="3" t="n"/>
      <c r="AM40" s="3" t="n"/>
      <c r="AN40" s="3" t="n"/>
      <c r="AT40" s="3" t="n"/>
      <c r="AU40" s="3" t="n"/>
      <c r="AV40" s="3" t="n"/>
      <c r="AW40" s="3" t="n"/>
      <c r="AX40" s="3" t="n"/>
      <c r="AY40" s="3" t="n"/>
    </row>
    <row r="41">
      <c r="A41" s="3" t="inlineStr">
        <is>
          <t>Daisy's Help - 158/165</t>
        </is>
      </c>
      <c r="B41" s="3" t="inlineStr">
        <is>
          <t>uncommon</t>
        </is>
      </c>
      <c r="C41" s="3" t="n">
        <v>62</v>
      </c>
      <c r="D41" s="3" t="n">
        <v>0.07000000000000001</v>
      </c>
      <c r="E41" s="3" t="n">
        <v>0.54</v>
      </c>
      <c r="F41" s="3">
        <f>IF(B41="common", 4, IF(B41="uncommon", 3, IF(B41="rare", 0.73878, 1)))</f>
        <v/>
      </c>
      <c r="G41" s="3" t="n"/>
      <c r="H41" s="3" t="n"/>
      <c r="I41" s="3" t="n"/>
      <c r="J41" s="3" t="n"/>
      <c r="K41" s="3" t="n"/>
      <c r="L41" s="3" t="n"/>
      <c r="M41" s="3" t="n"/>
      <c r="N41" s="3" t="n"/>
      <c r="R41" s="3" t="n"/>
      <c r="S41" s="3" t="n"/>
      <c r="T41" s="3" t="n"/>
      <c r="U41" s="3" t="n"/>
      <c r="AA41">
        <f>E41 *1.88541666666666</f>
        <v/>
      </c>
      <c r="AB41" s="3">
        <f>1.88541666666666 * (E41 - AA41)^2</f>
        <v/>
      </c>
      <c r="AC41" s="3" t="n"/>
      <c r="AD41" s="3" t="n"/>
      <c r="AJ41" s="3" t="n"/>
      <c r="AK41" s="3" t="n"/>
      <c r="AL41" s="3" t="n"/>
      <c r="AM41" s="3" t="n"/>
      <c r="AN41" s="3" t="n"/>
      <c r="AT41" s="3" t="n"/>
      <c r="AU41" s="3" t="n"/>
      <c r="AV41" s="3" t="n"/>
      <c r="AW41" s="3" t="n"/>
      <c r="AX41" s="3" t="n"/>
      <c r="AY41" s="3" t="n"/>
    </row>
    <row r="42">
      <c r="A42" s="3" t="inlineStr">
        <is>
          <t>Daisy's Help - 195/165</t>
        </is>
      </c>
      <c r="B42" s="3" t="inlineStr">
        <is>
          <t>ultra rare</t>
        </is>
      </c>
      <c r="C42" s="3" t="n">
        <v>248</v>
      </c>
      <c r="D42" s="3" t="n">
        <v>2.71</v>
      </c>
      <c r="E42" s="3" t="n"/>
      <c r="F42" s="3">
        <f>IF(B42="common", 4, IF(B42="uncommon", 3, IF(B42="rare", 0.73878, 1)))</f>
        <v/>
      </c>
      <c r="G42" s="3" t="n"/>
      <c r="H42" s="3" t="n"/>
      <c r="I42" s="3" t="n"/>
      <c r="J42" s="3" t="n"/>
      <c r="K42" s="3" t="n"/>
      <c r="L42" s="3" t="n"/>
      <c r="M42" s="3" t="n"/>
      <c r="N42" s="3" t="n"/>
      <c r="R42" s="3" t="n"/>
      <c r="S42" s="3" t="n"/>
      <c r="T42" s="3" t="n"/>
      <c r="U42" s="3" t="n"/>
      <c r="AA42">
        <f>E42 *1.88541666666666</f>
        <v/>
      </c>
      <c r="AB42" s="3">
        <f>1.88541666666666 * (E42 - AA42)^2</f>
        <v/>
      </c>
      <c r="AC42" s="3" t="n"/>
      <c r="AD42" s="3" t="n"/>
      <c r="AJ42" s="3" t="n"/>
      <c r="AK42" s="3" t="n"/>
      <c r="AL42" s="3" t="n"/>
      <c r="AM42" s="3" t="n"/>
      <c r="AN42" s="3" t="n"/>
      <c r="AT42" s="3" t="n"/>
      <c r="AU42" s="3" t="n"/>
      <c r="AV42" s="3" t="n"/>
      <c r="AW42" s="3" t="n"/>
      <c r="AX42" s="3" t="n"/>
      <c r="AY42" s="3" t="n"/>
    </row>
    <row r="43">
      <c r="A43" s="3" t="inlineStr">
        <is>
          <t>Dewgong</t>
        </is>
      </c>
      <c r="B43" s="3" t="inlineStr">
        <is>
          <t>uncommon</t>
        </is>
      </c>
      <c r="C43" s="3" t="n">
        <v>62</v>
      </c>
      <c r="D43" s="3" t="n">
        <v>0.08</v>
      </c>
      <c r="E43" s="3" t="n">
        <v>0.17</v>
      </c>
      <c r="F43" s="3">
        <f>IF(B43="common", 4, IF(B43="uncommon", 3, IF(B43="rare", 0.73878, 1)))</f>
        <v/>
      </c>
      <c r="G43" s="3" t="n"/>
      <c r="H43" s="3" t="n"/>
      <c r="I43" s="3" t="n"/>
      <c r="J43" s="3" t="n"/>
      <c r="K43" s="3" t="n"/>
      <c r="L43" s="3" t="n"/>
      <c r="M43" s="3" t="n"/>
      <c r="N43" s="3" t="n"/>
      <c r="R43" s="3" t="n"/>
      <c r="S43" s="3" t="n"/>
      <c r="T43" s="3" t="n"/>
      <c r="U43" s="3" t="n"/>
      <c r="AA43">
        <f>E43 *1.88541666666666</f>
        <v/>
      </c>
      <c r="AB43" s="3">
        <f>1.88541666666666 * (E43 - AA43)^2</f>
        <v/>
      </c>
      <c r="AC43" s="3" t="n"/>
      <c r="AD43" s="3" t="n"/>
      <c r="AJ43" s="3" t="n"/>
      <c r="AK43" s="3" t="n"/>
      <c r="AL43" s="3" t="n"/>
      <c r="AM43" s="3" t="n"/>
      <c r="AN43" s="3" t="n"/>
      <c r="AT43" s="3" t="n"/>
      <c r="AU43" s="3" t="n"/>
      <c r="AV43" s="3" t="n"/>
      <c r="AW43" s="3" t="n"/>
      <c r="AX43" s="3" t="n"/>
      <c r="AY43" s="3" t="n"/>
    </row>
    <row r="44">
      <c r="A44" s="3" t="inlineStr">
        <is>
          <t>Diglett</t>
        </is>
      </c>
      <c r="B44" s="3" t="inlineStr">
        <is>
          <t>common</t>
        </is>
      </c>
      <c r="C44" s="3" t="n">
        <v>66</v>
      </c>
      <c r="D44" s="3" t="n">
        <v>0.07000000000000001</v>
      </c>
      <c r="E44" s="3" t="n">
        <v>0.19</v>
      </c>
      <c r="F44" s="3">
        <f>IF(B44="common", 4, IF(B44="uncommon", 3, IF(B44="rare", 0.73878, 1)))</f>
        <v/>
      </c>
      <c r="G44" s="3" t="n"/>
      <c r="H44" s="3" t="n"/>
      <c r="I44" s="3" t="n"/>
      <c r="J44" s="3" t="n"/>
      <c r="K44" s="3" t="n"/>
      <c r="L44" s="3" t="n"/>
      <c r="M44" s="3" t="n"/>
      <c r="N44" s="3" t="n"/>
      <c r="R44" s="3" t="n"/>
      <c r="S44" s="3" t="n"/>
      <c r="T44" s="3" t="n"/>
      <c r="U44" s="3" t="n"/>
      <c r="AA44">
        <f>E44 *1.88541666666666</f>
        <v/>
      </c>
      <c r="AB44" s="3">
        <f>1.88541666666666 * (E44 - AA44)^2</f>
        <v/>
      </c>
      <c r="AC44" s="3" t="n"/>
      <c r="AD44" s="3" t="n"/>
      <c r="AJ44" s="3" t="n"/>
      <c r="AK44" s="3" t="n"/>
      <c r="AL44" s="3" t="n"/>
      <c r="AM44" s="3" t="n"/>
      <c r="AN44" s="3" t="n"/>
      <c r="AT44" s="3" t="n"/>
      <c r="AU44" s="3" t="n"/>
      <c r="AV44" s="3" t="n"/>
      <c r="AW44" s="3" t="n"/>
      <c r="AX44" s="3" t="n"/>
      <c r="AY44" s="3" t="n"/>
    </row>
    <row r="45">
      <c r="A45" s="3" t="inlineStr">
        <is>
          <t>Ditto</t>
        </is>
      </c>
      <c r="B45" s="3" t="inlineStr">
        <is>
          <t>rare</t>
        </is>
      </c>
      <c r="C45" s="3" t="n">
        <v>26</v>
      </c>
      <c r="D45" s="3" t="n">
        <v>0.27</v>
      </c>
      <c r="E45" s="3" t="n">
        <v>0.99</v>
      </c>
      <c r="F45" s="3">
        <f>IF(B45="common", 4, IF(B45="uncommon", 3, IF(B45="rare", 0.73878, 1)))</f>
        <v/>
      </c>
      <c r="G45" s="3" t="n"/>
      <c r="H45" s="3" t="n"/>
      <c r="I45" s="3" t="n"/>
      <c r="J45" s="3" t="n"/>
      <c r="K45" s="3" t="n"/>
      <c r="L45" s="3" t="n"/>
      <c r="M45" s="3" t="n"/>
      <c r="N45" s="3" t="n"/>
      <c r="R45" s="3" t="n"/>
      <c r="S45" s="3" t="n"/>
      <c r="T45" s="3" t="n"/>
      <c r="U45" s="3" t="n"/>
      <c r="AA45">
        <f>E45 *1.88541666666666</f>
        <v/>
      </c>
      <c r="AB45" s="3">
        <f>1.88541666666666 * (E45 - AA45)^2</f>
        <v/>
      </c>
      <c r="AC45" s="3" t="n"/>
      <c r="AD45" s="3" t="n"/>
      <c r="AJ45" s="3" t="n"/>
      <c r="AK45" s="3" t="n"/>
      <c r="AL45" s="3" t="n"/>
      <c r="AM45" s="3" t="n"/>
      <c r="AN45" s="3" t="n"/>
      <c r="AT45" s="3" t="n"/>
      <c r="AU45" s="3" t="n"/>
      <c r="AV45" s="3" t="n"/>
      <c r="AW45" s="3" t="n"/>
      <c r="AX45" s="3" t="n"/>
      <c r="AY45" s="3" t="n"/>
    </row>
    <row r="46">
      <c r="A46" s="3" t="inlineStr">
        <is>
          <t>Dodrio</t>
        </is>
      </c>
      <c r="B46" s="3" t="inlineStr">
        <is>
          <t>rare</t>
        </is>
      </c>
      <c r="C46" s="3" t="n">
        <v>26</v>
      </c>
      <c r="D46" s="3" t="n">
        <v>0.17</v>
      </c>
      <c r="E46" s="3" t="n">
        <v>0.72</v>
      </c>
      <c r="F46" s="3">
        <f>IF(B46="common", 4, IF(B46="uncommon", 3, IF(B46="rare", 0.73878, 1)))</f>
        <v/>
      </c>
      <c r="G46" s="3" t="n"/>
      <c r="H46" s="3" t="n"/>
      <c r="I46" s="3" t="n"/>
      <c r="J46" s="3" t="n"/>
      <c r="K46" s="3" t="n"/>
      <c r="L46" s="3" t="n"/>
      <c r="M46" s="3" t="n"/>
      <c r="N46" s="3" t="n"/>
      <c r="R46" s="3" t="n"/>
      <c r="S46" s="3" t="n"/>
      <c r="T46" s="3" t="n"/>
      <c r="U46" s="3" t="n"/>
      <c r="AA46">
        <f>E46 *1.88541666666666</f>
        <v/>
      </c>
      <c r="AB46" s="3">
        <f>1.88541666666666 * (E46 - AA46)^2</f>
        <v/>
      </c>
      <c r="AC46" s="3" t="n"/>
      <c r="AD46" s="3" t="n"/>
      <c r="AJ46" s="3" t="n"/>
      <c r="AK46" s="3" t="n"/>
      <c r="AL46" s="3" t="n"/>
      <c r="AM46" s="3" t="n"/>
      <c r="AN46" s="3" t="n"/>
      <c r="AT46" s="3" t="n"/>
      <c r="AU46" s="3" t="n"/>
      <c r="AV46" s="3" t="n"/>
      <c r="AW46" s="3" t="n"/>
      <c r="AX46" s="3" t="n"/>
      <c r="AY46" s="3" t="n"/>
    </row>
    <row r="47">
      <c r="A47" s="3" t="inlineStr">
        <is>
          <t>Doduo</t>
        </is>
      </c>
      <c r="B47" s="3" t="inlineStr">
        <is>
          <t>common</t>
        </is>
      </c>
      <c r="C47" s="3" t="n">
        <v>66</v>
      </c>
      <c r="D47" s="3" t="n">
        <v>0.07000000000000001</v>
      </c>
      <c r="E47" s="3" t="n">
        <v>0.19</v>
      </c>
      <c r="F47" s="3">
        <f>IF(B47="common", 4, IF(B47="uncommon", 3, IF(B47="rare", 0.73878, 1)))</f>
        <v/>
      </c>
      <c r="G47" s="3" t="n"/>
      <c r="H47" s="3" t="n"/>
      <c r="I47" s="3" t="n"/>
      <c r="J47" s="3" t="n"/>
      <c r="K47" s="3" t="n"/>
      <c r="L47" s="3" t="n"/>
      <c r="M47" s="3" t="n"/>
      <c r="N47" s="3" t="n"/>
      <c r="R47" s="3" t="n"/>
      <c r="S47" s="3" t="n"/>
      <c r="T47" s="3" t="n"/>
      <c r="U47" s="3" t="n"/>
      <c r="AA47">
        <f>E47 *1.88541666666666</f>
        <v/>
      </c>
      <c r="AB47" s="3">
        <f>1.88541666666666 * (E47 - AA47)^2</f>
        <v/>
      </c>
      <c r="AC47" s="3" t="n"/>
      <c r="AD47" s="3" t="n"/>
      <c r="AJ47" s="3" t="n"/>
      <c r="AK47" s="3" t="n"/>
      <c r="AL47" s="3" t="n"/>
      <c r="AM47" s="3" t="n"/>
      <c r="AN47" s="3" t="n"/>
      <c r="AT47" s="3" t="n"/>
      <c r="AU47" s="3" t="n"/>
      <c r="AV47" s="3" t="n"/>
      <c r="AW47" s="3" t="n"/>
      <c r="AX47" s="3" t="n"/>
      <c r="AY47" s="3" t="n"/>
    </row>
    <row r="48">
      <c r="A48" s="3" t="inlineStr">
        <is>
          <t>Dragonair - 148/165</t>
        </is>
      </c>
      <c r="B48" s="3" t="inlineStr">
        <is>
          <t>uncommon</t>
        </is>
      </c>
      <c r="C48" s="3" t="n">
        <v>62</v>
      </c>
      <c r="D48" s="3" t="n">
        <v>0.14</v>
      </c>
      <c r="E48" s="3" t="n">
        <v>1.52</v>
      </c>
      <c r="F48" s="3">
        <f>IF(B48="common", 4, IF(B48="uncommon", 3, IF(B48="rare", 0.73878, 1)))</f>
        <v/>
      </c>
      <c r="G48" s="3" t="n"/>
      <c r="H48" s="3" t="n"/>
      <c r="I48" s="3" t="n"/>
      <c r="J48" s="3" t="n"/>
      <c r="K48" s="3" t="n"/>
      <c r="L48" s="3" t="n"/>
      <c r="M48" s="3" t="n"/>
      <c r="N48" s="3" t="n"/>
      <c r="R48" s="3" t="n"/>
      <c r="S48" s="3" t="n"/>
      <c r="T48" s="3" t="n"/>
      <c r="U48" s="3" t="n"/>
      <c r="AA48">
        <f>E48 *1.88541666666666</f>
        <v/>
      </c>
      <c r="AB48" s="3">
        <f>1.88541666666666 * (E48 - AA48)^2</f>
        <v/>
      </c>
      <c r="AC48" s="3" t="n"/>
      <c r="AD48" s="3" t="n"/>
      <c r="AJ48" s="3" t="n"/>
      <c r="AK48" s="3" t="n"/>
      <c r="AL48" s="3" t="n"/>
      <c r="AM48" s="3" t="n"/>
      <c r="AN48" s="3" t="n"/>
      <c r="AT48" s="3" t="n"/>
      <c r="AU48" s="3" t="n"/>
      <c r="AV48" s="3" t="n"/>
      <c r="AW48" s="3" t="n"/>
      <c r="AX48" s="3" t="n"/>
      <c r="AY48" s="3" t="n"/>
    </row>
    <row r="49">
      <c r="A49" s="3" t="inlineStr">
        <is>
          <t>Dragonair - 181/165</t>
        </is>
      </c>
      <c r="B49" s="3" t="inlineStr">
        <is>
          <t>illustration rare</t>
        </is>
      </c>
      <c r="C49" s="3" t="n">
        <v>188</v>
      </c>
      <c r="D49" s="3" t="n">
        <v>22.32</v>
      </c>
      <c r="E49" s="3" t="n"/>
      <c r="F49" s="3">
        <f>IF(B49="common", 4, IF(B49="uncommon", 3, IF(B49="rare", 0.73878, 1)))</f>
        <v/>
      </c>
      <c r="G49" s="3" t="n"/>
      <c r="H49" s="3" t="n"/>
      <c r="I49" s="3" t="n"/>
      <c r="J49" s="3" t="n"/>
      <c r="K49" s="3" t="n"/>
      <c r="L49" s="3" t="n"/>
      <c r="M49" s="3" t="n"/>
      <c r="N49" s="3" t="n"/>
      <c r="R49" s="3" t="n"/>
      <c r="S49" s="3" t="n"/>
      <c r="T49" s="3" t="n"/>
      <c r="U49" s="3" t="n"/>
      <c r="AA49">
        <f>E49 *1.88541666666666</f>
        <v/>
      </c>
      <c r="AB49" s="3">
        <f>1.88541666666666 * (E49 - AA49)^2</f>
        <v/>
      </c>
      <c r="AC49" s="3" t="n"/>
      <c r="AD49" s="3" t="n"/>
      <c r="AJ49" s="3" t="n"/>
      <c r="AK49" s="3" t="n"/>
      <c r="AL49" s="3" t="n"/>
      <c r="AM49" s="3" t="n"/>
      <c r="AN49" s="3" t="n"/>
      <c r="AT49" s="3" t="n"/>
      <c r="AU49" s="3" t="n"/>
      <c r="AV49" s="3" t="n"/>
      <c r="AW49" s="3" t="n"/>
      <c r="AX49" s="3" t="n"/>
      <c r="AY49" s="3" t="n"/>
    </row>
    <row r="50">
      <c r="A50" s="3" t="inlineStr">
        <is>
          <t>Dragonite</t>
        </is>
      </c>
      <c r="B50" s="3" t="inlineStr">
        <is>
          <t>rare</t>
        </is>
      </c>
      <c r="C50" s="3" t="n">
        <v>26</v>
      </c>
      <c r="D50" s="3" t="n">
        <v>0.28</v>
      </c>
      <c r="E50" s="3" t="n">
        <v>1.55</v>
      </c>
      <c r="F50" s="3">
        <f>IF(B50="common", 4, IF(B50="uncommon", 3, IF(B50="rare", 0.73878, 1)))</f>
        <v/>
      </c>
      <c r="G50" s="3" t="n"/>
      <c r="H50" s="3" t="n"/>
      <c r="I50" s="3" t="n"/>
      <c r="J50" s="3" t="n"/>
      <c r="K50" s="3" t="n"/>
      <c r="L50" s="3" t="n"/>
      <c r="M50" s="3" t="n"/>
      <c r="N50" s="3" t="n"/>
      <c r="R50" s="3" t="n"/>
      <c r="S50" s="3" t="n"/>
      <c r="T50" s="3" t="n"/>
      <c r="U50" s="3" t="n"/>
      <c r="AA50">
        <f>E50 *1.88541666666666</f>
        <v/>
      </c>
      <c r="AB50" s="3">
        <f>1.88541666666666 * (E50 - AA50)^2</f>
        <v/>
      </c>
      <c r="AC50" s="3" t="n"/>
      <c r="AD50" s="3" t="n"/>
      <c r="AJ50" s="3" t="n"/>
      <c r="AK50" s="3" t="n"/>
      <c r="AL50" s="3" t="n"/>
      <c r="AM50" s="3" t="n"/>
      <c r="AN50" s="3" t="n"/>
      <c r="AT50" s="3" t="n"/>
      <c r="AU50" s="3" t="n"/>
      <c r="AV50" s="3" t="n"/>
      <c r="AW50" s="3" t="n"/>
      <c r="AX50" s="3" t="n"/>
      <c r="AY50" s="3" t="n"/>
    </row>
    <row r="51">
      <c r="A51" s="3" t="inlineStr">
        <is>
          <t>Dratini</t>
        </is>
      </c>
      <c r="B51" s="3" t="inlineStr">
        <is>
          <t>common</t>
        </is>
      </c>
      <c r="C51" s="3" t="n">
        <v>66</v>
      </c>
      <c r="D51" s="3" t="n">
        <v>0.12</v>
      </c>
      <c r="E51" s="3" t="n">
        <v>0.21</v>
      </c>
      <c r="F51" s="3">
        <f>IF(B51="common", 4, IF(B51="uncommon", 3, IF(B51="rare", 0.73878, 1)))</f>
        <v/>
      </c>
      <c r="G51" s="3" t="n"/>
      <c r="H51" s="3" t="n"/>
      <c r="I51" s="3" t="n"/>
      <c r="J51" s="3" t="n"/>
      <c r="K51" s="3" t="n"/>
      <c r="L51" s="3" t="n"/>
      <c r="M51" s="3" t="n"/>
      <c r="N51" s="3" t="n"/>
      <c r="R51" s="3" t="n"/>
      <c r="S51" s="3" t="n"/>
      <c r="T51" s="3" t="n"/>
      <c r="U51" s="3" t="n"/>
      <c r="AA51">
        <f>E51 *1.88541666666666</f>
        <v/>
      </c>
      <c r="AB51" s="3">
        <f>1.88541666666666 * (E51 - AA51)^2</f>
        <v/>
      </c>
      <c r="AC51" s="3" t="n"/>
      <c r="AD51" s="3" t="n"/>
      <c r="AJ51" s="3" t="n"/>
      <c r="AK51" s="3" t="n"/>
      <c r="AL51" s="3" t="n"/>
      <c r="AM51" s="3" t="n"/>
      <c r="AN51" s="3" t="n"/>
      <c r="AT51" s="3" t="n"/>
      <c r="AU51" s="3" t="n"/>
      <c r="AV51" s="3" t="n"/>
      <c r="AW51" s="3" t="n"/>
      <c r="AX51" s="3" t="n"/>
      <c r="AY51" s="3" t="n"/>
    </row>
    <row r="52">
      <c r="A52" s="3" t="inlineStr">
        <is>
          <t>Drowzee</t>
        </is>
      </c>
      <c r="B52" s="3" t="inlineStr">
        <is>
          <t>common</t>
        </is>
      </c>
      <c r="C52" s="3" t="n">
        <v>66</v>
      </c>
      <c r="D52" s="3" t="n">
        <v>0.07000000000000001</v>
      </c>
      <c r="E52" s="3" t="n">
        <v>0.15</v>
      </c>
      <c r="F52" s="3">
        <f>IF(B52="common", 4, IF(B52="uncommon", 3, IF(B52="rare", 0.73878, 1)))</f>
        <v/>
      </c>
      <c r="G52" s="3" t="n"/>
      <c r="H52" s="3" t="n"/>
      <c r="I52" s="3" t="n"/>
      <c r="J52" s="3" t="n"/>
      <c r="K52" s="3" t="n"/>
      <c r="L52" s="3" t="n"/>
      <c r="M52" s="3" t="n"/>
      <c r="N52" s="3" t="n"/>
      <c r="R52" s="3" t="n"/>
      <c r="S52" s="3" t="n"/>
      <c r="T52" s="3" t="n"/>
      <c r="U52" s="3" t="n"/>
      <c r="AA52">
        <f>E52 *1.88541666666666</f>
        <v/>
      </c>
      <c r="AB52" s="3">
        <f>1.88541666666666 * (E52 - AA52)^2</f>
        <v/>
      </c>
      <c r="AC52" s="3" t="n"/>
      <c r="AD52" s="3" t="n"/>
      <c r="AJ52" s="3" t="n"/>
      <c r="AK52" s="3" t="n"/>
      <c r="AL52" s="3" t="n"/>
      <c r="AM52" s="3" t="n"/>
      <c r="AN52" s="3" t="n"/>
      <c r="AT52" s="3" t="n"/>
      <c r="AU52" s="3" t="n"/>
      <c r="AV52" s="3" t="n"/>
      <c r="AW52" s="3" t="n"/>
      <c r="AX52" s="3" t="n"/>
      <c r="AY52" s="3" t="n"/>
    </row>
    <row r="53">
      <c r="A53" s="3" t="inlineStr">
        <is>
          <t>Dugtrio</t>
        </is>
      </c>
      <c r="B53" s="3" t="inlineStr">
        <is>
          <t>uncommon</t>
        </is>
      </c>
      <c r="C53" s="3" t="n">
        <v>62</v>
      </c>
      <c r="D53" s="3" t="n">
        <v>0.07000000000000001</v>
      </c>
      <c r="E53" s="3" t="n">
        <v>0.16</v>
      </c>
      <c r="F53" s="3">
        <f>IF(B53="common", 4, IF(B53="uncommon", 3, IF(B53="rare", 0.73878, 1)))</f>
        <v/>
      </c>
      <c r="G53" s="3" t="n"/>
      <c r="H53" s="3" t="n"/>
      <c r="I53" s="3" t="n"/>
      <c r="J53" s="3" t="n"/>
      <c r="K53" s="3" t="n"/>
      <c r="L53" s="3" t="n"/>
      <c r="M53" s="3" t="n"/>
      <c r="N53" s="3" t="n"/>
      <c r="R53" s="3" t="n"/>
      <c r="S53" s="3" t="n"/>
      <c r="T53" s="3" t="n"/>
      <c r="U53" s="3" t="n"/>
      <c r="AA53">
        <f>E53 *1.88541666666666</f>
        <v/>
      </c>
      <c r="AB53" s="3">
        <f>1.88541666666666 * (E53 - AA53)^2</f>
        <v/>
      </c>
      <c r="AC53" s="3" t="n"/>
      <c r="AD53" s="3" t="n"/>
      <c r="AJ53" s="3" t="n"/>
      <c r="AK53" s="3" t="n"/>
      <c r="AL53" s="3" t="n"/>
      <c r="AM53" s="3" t="n"/>
      <c r="AN53" s="3" t="n"/>
      <c r="AT53" s="3" t="n"/>
      <c r="AU53" s="3" t="n"/>
      <c r="AV53" s="3" t="n"/>
      <c r="AW53" s="3" t="n"/>
      <c r="AX53" s="3" t="n"/>
      <c r="AY53" s="3" t="n"/>
    </row>
    <row r="54">
      <c r="A54" s="3" t="inlineStr">
        <is>
          <t>Eevee</t>
        </is>
      </c>
      <c r="B54" s="3" t="inlineStr">
        <is>
          <t>common</t>
        </is>
      </c>
      <c r="C54" s="3" t="n">
        <v>66</v>
      </c>
      <c r="D54" s="3" t="n">
        <v>0.12</v>
      </c>
      <c r="E54" s="3" t="n">
        <v>0.25</v>
      </c>
      <c r="F54" s="3">
        <f>IF(B54="common", 4, IF(B54="uncommon", 3, IF(B54="rare", 0.73878, 1)))</f>
        <v/>
      </c>
      <c r="G54" s="3" t="n"/>
      <c r="H54" s="3" t="n"/>
      <c r="I54" s="3" t="n"/>
      <c r="J54" s="3" t="n"/>
      <c r="K54" s="3" t="n"/>
      <c r="L54" s="3" t="n"/>
      <c r="M54" s="3" t="n"/>
      <c r="N54" s="3" t="n"/>
      <c r="R54" s="3" t="n"/>
      <c r="S54" s="3" t="n"/>
      <c r="T54" s="3" t="n"/>
      <c r="U54" s="3" t="n"/>
      <c r="AA54">
        <f>E54 *1.88541666666666</f>
        <v/>
      </c>
      <c r="AB54" s="3">
        <f>1.88541666666666 * (E54 - AA54)^2</f>
        <v/>
      </c>
      <c r="AC54" s="3" t="n"/>
      <c r="AD54" s="3" t="n"/>
      <c r="AJ54" s="3" t="n"/>
      <c r="AK54" s="3" t="n"/>
      <c r="AL54" s="3" t="n"/>
      <c r="AM54" s="3" t="n"/>
      <c r="AN54" s="3" t="n"/>
      <c r="AT54" s="3" t="n"/>
      <c r="AU54" s="3" t="n"/>
      <c r="AV54" s="3" t="n"/>
      <c r="AW54" s="3" t="n"/>
      <c r="AX54" s="3" t="n"/>
      <c r="AY54" s="3" t="n"/>
    </row>
    <row r="55">
      <c r="A55" s="3" t="inlineStr">
        <is>
          <t>Ekans</t>
        </is>
      </c>
      <c r="B55" s="3" t="inlineStr">
        <is>
          <t>common</t>
        </is>
      </c>
      <c r="C55" s="3" t="n">
        <v>66</v>
      </c>
      <c r="D55" s="3" t="n">
        <v>0.08</v>
      </c>
      <c r="E55" s="3" t="n">
        <v>0.17</v>
      </c>
      <c r="F55" s="3">
        <f>IF(B55="common", 4, IF(B55="uncommon", 3, IF(B55="rare", 0.73878, 1)))</f>
        <v/>
      </c>
      <c r="G55" s="3" t="n"/>
      <c r="H55" s="3" t="n"/>
      <c r="I55" s="3" t="n"/>
      <c r="J55" s="3" t="n"/>
      <c r="K55" s="3" t="n"/>
      <c r="L55" s="3" t="n"/>
      <c r="M55" s="3" t="n"/>
      <c r="N55" s="3" t="n"/>
      <c r="R55" s="3" t="n"/>
      <c r="S55" s="3" t="n"/>
      <c r="T55" s="3" t="n"/>
      <c r="U55" s="3" t="n"/>
      <c r="AA55">
        <f>E55 *1.88541666666666</f>
        <v/>
      </c>
      <c r="AB55" s="3">
        <f>1.88541666666666 * (E55 - AA55)^2</f>
        <v/>
      </c>
      <c r="AC55" s="3" t="n"/>
      <c r="AD55" s="3" t="n"/>
      <c r="AJ55" s="3" t="n"/>
      <c r="AK55" s="3" t="n"/>
      <c r="AL55" s="3" t="n"/>
      <c r="AM55" s="3" t="n"/>
      <c r="AN55" s="3" t="n"/>
      <c r="AT55" s="3" t="n"/>
      <c r="AU55" s="3" t="n"/>
      <c r="AV55" s="3" t="n"/>
      <c r="AW55" s="3" t="n"/>
      <c r="AX55" s="3" t="n"/>
      <c r="AY55" s="3" t="n"/>
    </row>
    <row r="56">
      <c r="A56" s="3" t="inlineStr">
        <is>
          <t>Electabuzz</t>
        </is>
      </c>
      <c r="B56" s="3" t="inlineStr">
        <is>
          <t>common</t>
        </is>
      </c>
      <c r="C56" s="3" t="n">
        <v>66</v>
      </c>
      <c r="D56" s="3" t="n">
        <v>0.07000000000000001</v>
      </c>
      <c r="E56" s="3" t="n">
        <v>0.66</v>
      </c>
      <c r="F56" s="3">
        <f>IF(B56="common", 4, IF(B56="uncommon", 3, IF(B56="rare", 0.73878, 1)))</f>
        <v/>
      </c>
      <c r="G56" s="3" t="n"/>
      <c r="H56" s="3" t="n"/>
      <c r="I56" s="3" t="n"/>
      <c r="J56" s="3" t="n"/>
      <c r="K56" s="3" t="n"/>
      <c r="L56" s="3" t="n"/>
      <c r="M56" s="3" t="n"/>
      <c r="N56" s="3" t="n"/>
      <c r="R56" s="3" t="n"/>
      <c r="S56" s="3" t="n"/>
      <c r="T56" s="3" t="n"/>
      <c r="U56" s="3" t="n"/>
      <c r="AA56">
        <f>E56 *1.88541666666666</f>
        <v/>
      </c>
      <c r="AB56" s="3">
        <f>1.88541666666666 * (E56 - AA56)^2</f>
        <v/>
      </c>
      <c r="AC56" s="3" t="n"/>
      <c r="AD56" s="3" t="n"/>
      <c r="AJ56" s="3" t="n"/>
      <c r="AK56" s="3" t="n"/>
      <c r="AL56" s="3" t="n"/>
      <c r="AM56" s="3" t="n"/>
      <c r="AN56" s="3" t="n"/>
      <c r="AT56" s="3" t="n"/>
      <c r="AU56" s="3" t="n"/>
      <c r="AV56" s="3" t="n"/>
      <c r="AW56" s="3" t="n"/>
      <c r="AX56" s="3" t="n"/>
      <c r="AY56" s="3" t="n"/>
    </row>
    <row r="57">
      <c r="A57" s="3" t="inlineStr">
        <is>
          <t>Electrode</t>
        </is>
      </c>
      <c r="B57" s="3" t="inlineStr">
        <is>
          <t>rare</t>
        </is>
      </c>
      <c r="C57" s="3" t="n">
        <v>26</v>
      </c>
      <c r="D57" s="3" t="n">
        <v>0.15</v>
      </c>
      <c r="E57" s="3" t="n">
        <v>1.35</v>
      </c>
      <c r="F57" s="3">
        <f>IF(B57="common", 4, IF(B57="uncommon", 3, IF(B57="rare", 0.73878, 1)))</f>
        <v/>
      </c>
      <c r="G57" s="3" t="n"/>
      <c r="H57" s="3" t="n"/>
      <c r="I57" s="3" t="n"/>
      <c r="J57" s="3" t="n"/>
      <c r="K57" s="3" t="n"/>
      <c r="L57" s="3" t="n"/>
      <c r="M57" s="3" t="n"/>
      <c r="N57" s="3" t="n"/>
      <c r="R57" s="3" t="n"/>
      <c r="S57" s="3" t="n"/>
      <c r="T57" s="3" t="n"/>
      <c r="U57" s="3" t="n"/>
      <c r="AA57">
        <f>E57 *1.88541666666666</f>
        <v/>
      </c>
      <c r="AB57" s="3">
        <f>1.88541666666666 * (E57 - AA57)^2</f>
        <v/>
      </c>
      <c r="AC57" s="3" t="n"/>
      <c r="AD57" s="3" t="n"/>
      <c r="AJ57" s="3" t="n"/>
      <c r="AK57" s="3" t="n"/>
      <c r="AL57" s="3" t="n"/>
      <c r="AM57" s="3" t="n"/>
      <c r="AN57" s="3" t="n"/>
      <c r="AT57" s="3" t="n"/>
      <c r="AU57" s="3" t="n"/>
      <c r="AV57" s="3" t="n"/>
      <c r="AW57" s="3" t="n"/>
      <c r="AX57" s="3" t="n"/>
      <c r="AY57" s="3" t="n"/>
    </row>
    <row r="58">
      <c r="A58" s="3" t="inlineStr">
        <is>
          <t>Energy Sticker</t>
        </is>
      </c>
      <c r="B58" s="3" t="inlineStr">
        <is>
          <t>uncommon</t>
        </is>
      </c>
      <c r="C58" s="3" t="n">
        <v>62</v>
      </c>
      <c r="D58" s="3" t="n">
        <v>0.12</v>
      </c>
      <c r="E58" s="3" t="n">
        <v>1.04</v>
      </c>
      <c r="F58" s="3">
        <f>IF(B58="common", 4, IF(B58="uncommon", 3, IF(B58="rare", 0.73878, 1)))</f>
        <v/>
      </c>
      <c r="G58" s="3" t="n"/>
      <c r="H58" s="3" t="n"/>
      <c r="I58" s="3" t="n"/>
      <c r="J58" s="3" t="n"/>
      <c r="K58" s="3" t="n"/>
      <c r="L58" s="3" t="n"/>
      <c r="M58" s="3" t="n"/>
      <c r="N58" s="3" t="n"/>
      <c r="R58" s="3" t="n"/>
      <c r="S58" s="3" t="n"/>
      <c r="T58" s="3" t="n"/>
      <c r="U58" s="3" t="n"/>
      <c r="AA58">
        <f>E58 *1.88541666666666</f>
        <v/>
      </c>
      <c r="AB58" s="3">
        <f>1.88541666666666 * (E58 - AA58)^2</f>
        <v/>
      </c>
      <c r="AC58" s="3" t="n"/>
      <c r="AD58" s="3" t="n"/>
      <c r="AJ58" s="3" t="n"/>
      <c r="AK58" s="3" t="n"/>
      <c r="AL58" s="3" t="n"/>
      <c r="AM58" s="3" t="n"/>
      <c r="AN58" s="3" t="n"/>
      <c r="AT58" s="3" t="n"/>
      <c r="AU58" s="3" t="n"/>
      <c r="AV58" s="3" t="n"/>
      <c r="AW58" s="3" t="n"/>
      <c r="AX58" s="3" t="n"/>
      <c r="AY58" s="3" t="n"/>
    </row>
    <row r="59">
      <c r="A59" s="3" t="inlineStr">
        <is>
          <t>Erika's Invitation - 160/165</t>
        </is>
      </c>
      <c r="B59" s="3" t="inlineStr">
        <is>
          <t>uncommon</t>
        </is>
      </c>
      <c r="C59" s="3" t="n">
        <v>62</v>
      </c>
      <c r="D59" s="3" t="n">
        <v>0.09</v>
      </c>
      <c r="E59" s="3" t="n">
        <v>0.62</v>
      </c>
      <c r="F59" s="3">
        <f>IF(B59="common", 4, IF(B59="uncommon", 3, IF(B59="rare", 0.73878, 1)))</f>
        <v/>
      </c>
      <c r="G59" s="3" t="n"/>
      <c r="H59" s="3" t="n"/>
      <c r="I59" s="3" t="n"/>
      <c r="J59" s="3" t="n"/>
      <c r="K59" s="3" t="n"/>
      <c r="L59" s="3" t="n"/>
      <c r="M59" s="3" t="n"/>
      <c r="N59" s="3" t="n"/>
      <c r="R59" s="3" t="n"/>
      <c r="S59" s="3" t="n"/>
      <c r="T59" s="3" t="n"/>
      <c r="U59" s="3" t="n"/>
      <c r="AA59">
        <f>E59 *1.88541666666666</f>
        <v/>
      </c>
      <c r="AB59" s="3">
        <f>1.88541666666666 * (E59 - AA59)^2</f>
        <v/>
      </c>
      <c r="AC59" s="3" t="n"/>
      <c r="AD59" s="3" t="n"/>
      <c r="AJ59" s="3" t="n"/>
      <c r="AK59" s="3" t="n"/>
      <c r="AL59" s="3" t="n"/>
      <c r="AM59" s="3" t="n"/>
      <c r="AN59" s="3" t="n"/>
      <c r="AT59" s="3" t="n"/>
      <c r="AU59" s="3" t="n"/>
      <c r="AV59" s="3" t="n"/>
      <c r="AW59" s="3" t="n"/>
      <c r="AX59" s="3" t="n"/>
      <c r="AY59" s="3" t="n"/>
    </row>
    <row r="60">
      <c r="A60" s="3" t="inlineStr">
        <is>
          <t>Erika's Invitation - 196/165</t>
        </is>
      </c>
      <c r="B60" s="3" t="inlineStr">
        <is>
          <t>ultra rare</t>
        </is>
      </c>
      <c r="C60" s="3" t="n">
        <v>248</v>
      </c>
      <c r="D60" s="3" t="n">
        <v>5.26</v>
      </c>
      <c r="E60" s="3" t="n"/>
      <c r="F60" s="3">
        <f>IF(B60="common", 4, IF(B60="uncommon", 3, IF(B60="rare", 0.73878, 1)))</f>
        <v/>
      </c>
      <c r="G60" s="3" t="n"/>
      <c r="H60" s="3" t="n"/>
      <c r="I60" s="3" t="n"/>
      <c r="J60" s="3" t="n"/>
      <c r="K60" s="3" t="n"/>
      <c r="L60" s="3" t="n"/>
      <c r="M60" s="3" t="n"/>
      <c r="N60" s="3" t="n"/>
      <c r="R60" s="3" t="n"/>
      <c r="S60" s="3" t="n"/>
      <c r="T60" s="3" t="n"/>
      <c r="U60" s="3" t="n"/>
      <c r="AA60">
        <f>E60 *1.88541666666666</f>
        <v/>
      </c>
      <c r="AB60" s="3">
        <f>1.88541666666666 * (E60 - AA60)^2</f>
        <v/>
      </c>
      <c r="AC60" s="3" t="n"/>
      <c r="AD60" s="3" t="n"/>
      <c r="AJ60" s="3" t="n"/>
      <c r="AK60" s="3" t="n"/>
      <c r="AL60" s="3" t="n"/>
      <c r="AM60" s="3" t="n"/>
      <c r="AN60" s="3" t="n"/>
      <c r="AT60" s="3" t="n"/>
      <c r="AU60" s="3" t="n"/>
      <c r="AV60" s="3" t="n"/>
      <c r="AW60" s="3" t="n"/>
      <c r="AX60" s="3" t="n"/>
      <c r="AY60" s="3" t="n"/>
    </row>
    <row r="61">
      <c r="A61" s="3" t="inlineStr">
        <is>
          <t>Erika's Invitation - 203/165</t>
        </is>
      </c>
      <c r="B61" s="3" t="inlineStr">
        <is>
          <t>special illustration rare</t>
        </is>
      </c>
      <c r="C61" s="3" t="n">
        <v>225</v>
      </c>
      <c r="D61" s="3" t="n">
        <v>13.24</v>
      </c>
      <c r="E61" s="3" t="n"/>
      <c r="F61" s="3">
        <f>IF(B61="common", 4, IF(B61="uncommon", 3, IF(B61="rare", 0.73878, 1)))</f>
        <v/>
      </c>
      <c r="G61" s="3" t="n"/>
      <c r="H61" s="3" t="n"/>
      <c r="I61" s="3" t="n"/>
      <c r="J61" s="3" t="n"/>
      <c r="K61" s="3" t="n"/>
      <c r="L61" s="3" t="n"/>
      <c r="M61" s="3" t="n"/>
      <c r="N61" s="3" t="n"/>
      <c r="R61" s="3" t="n"/>
      <c r="S61" s="3" t="n"/>
      <c r="T61" s="3" t="n"/>
      <c r="U61" s="3" t="n"/>
      <c r="AA61">
        <f>E61 *1.88541666666666</f>
        <v/>
      </c>
      <c r="AB61" s="3">
        <f>1.88541666666666 * (E61 - AA61)^2</f>
        <v/>
      </c>
      <c r="AC61" s="3" t="n"/>
      <c r="AD61" s="3" t="n"/>
      <c r="AJ61" s="3" t="n"/>
      <c r="AK61" s="3" t="n"/>
      <c r="AL61" s="3" t="n"/>
      <c r="AM61" s="3" t="n"/>
      <c r="AN61" s="3" t="n"/>
      <c r="AT61" s="3" t="n"/>
      <c r="AU61" s="3" t="n"/>
      <c r="AV61" s="3" t="n"/>
      <c r="AW61" s="3" t="n"/>
      <c r="AX61" s="3" t="n"/>
      <c r="AY61" s="3" t="n"/>
    </row>
    <row r="62">
      <c r="A62" s="3" t="inlineStr">
        <is>
          <t>Exeggcute</t>
        </is>
      </c>
      <c r="B62" s="3" t="inlineStr">
        <is>
          <t>common</t>
        </is>
      </c>
      <c r="C62" s="3" t="n">
        <v>66</v>
      </c>
      <c r="D62" s="3" t="n">
        <v>0.07000000000000001</v>
      </c>
      <c r="E62" s="3" t="n">
        <v>0.18</v>
      </c>
      <c r="F62" s="3">
        <f>IF(B62="common", 4, IF(B62="uncommon", 3, IF(B62="rare", 0.73878, 1)))</f>
        <v/>
      </c>
      <c r="G62" s="3" t="n"/>
      <c r="H62" s="3" t="n"/>
      <c r="I62" s="3" t="n"/>
      <c r="J62" s="3" t="n"/>
      <c r="K62" s="3" t="n"/>
      <c r="L62" s="3" t="n"/>
      <c r="M62" s="3" t="n"/>
      <c r="N62" s="3" t="n"/>
      <c r="R62" s="3" t="n"/>
      <c r="S62" s="3" t="n"/>
      <c r="T62" s="3" t="n"/>
      <c r="U62" s="3" t="n"/>
      <c r="AA62">
        <f>E62 *1.88541666666666</f>
        <v/>
      </c>
      <c r="AB62" s="3">
        <f>1.88541666666666 * (E62 - AA62)^2</f>
        <v/>
      </c>
      <c r="AC62" s="3" t="n"/>
      <c r="AD62" s="3" t="n"/>
      <c r="AJ62" s="3" t="n"/>
      <c r="AK62" s="3" t="n"/>
      <c r="AL62" s="3" t="n"/>
      <c r="AM62" s="3" t="n"/>
      <c r="AN62" s="3" t="n"/>
      <c r="AT62" s="3" t="n"/>
      <c r="AU62" s="3" t="n"/>
      <c r="AV62" s="3" t="n"/>
      <c r="AW62" s="3" t="n"/>
      <c r="AX62" s="3" t="n"/>
      <c r="AY62" s="3" t="n"/>
    </row>
    <row r="63">
      <c r="A63" s="3" t="inlineStr">
        <is>
          <t>Exeggutor</t>
        </is>
      </c>
      <c r="B63" s="3" t="inlineStr">
        <is>
          <t>uncommon</t>
        </is>
      </c>
      <c r="C63" s="3" t="n">
        <v>62</v>
      </c>
      <c r="D63" s="3" t="n">
        <v>0.11</v>
      </c>
      <c r="E63" s="3" t="n">
        <v>1.01</v>
      </c>
      <c r="F63" s="3">
        <f>IF(B63="common", 4, IF(B63="uncommon", 3, IF(B63="rare", 0.73878, 1)))</f>
        <v/>
      </c>
      <c r="G63" s="3" t="n"/>
      <c r="H63" s="3" t="n"/>
      <c r="I63" s="3" t="n"/>
      <c r="J63" s="3" t="n"/>
      <c r="K63" s="3" t="n"/>
      <c r="L63" s="3" t="n"/>
      <c r="M63" s="3" t="n"/>
      <c r="N63" s="3" t="n"/>
      <c r="R63" s="3" t="n"/>
      <c r="S63" s="3" t="n"/>
      <c r="T63" s="3" t="n"/>
      <c r="U63" s="3" t="n"/>
      <c r="AA63">
        <f>E63 *1.88541666666666</f>
        <v/>
      </c>
      <c r="AB63" s="3">
        <f>1.88541666666666 * (E63 - AA63)^2</f>
        <v/>
      </c>
      <c r="AC63" s="3" t="n"/>
      <c r="AD63" s="3" t="n"/>
      <c r="AJ63" s="3" t="n"/>
      <c r="AK63" s="3" t="n"/>
      <c r="AL63" s="3" t="n"/>
      <c r="AM63" s="3" t="n"/>
      <c r="AN63" s="3" t="n"/>
      <c r="AT63" s="3" t="n"/>
      <c r="AU63" s="3" t="n"/>
      <c r="AV63" s="3" t="n"/>
      <c r="AW63" s="3" t="n"/>
      <c r="AX63" s="3" t="n"/>
      <c r="AY63" s="3" t="n"/>
    </row>
    <row r="64">
      <c r="A64" s="3" t="inlineStr">
        <is>
          <t>Farfetch'd</t>
        </is>
      </c>
      <c r="B64" s="3" t="inlineStr">
        <is>
          <t>common</t>
        </is>
      </c>
      <c r="C64" s="3" t="n">
        <v>66</v>
      </c>
      <c r="D64" s="3" t="n">
        <v>0.04</v>
      </c>
      <c r="E64" s="3" t="n">
        <v>0.18</v>
      </c>
      <c r="F64" s="3">
        <f>IF(B64="common", 4, IF(B64="uncommon", 3, IF(B64="rare", 0.73878, 1)))</f>
        <v/>
      </c>
      <c r="G64" s="3" t="n"/>
      <c r="H64" s="3" t="n"/>
      <c r="I64" s="3" t="n"/>
      <c r="J64" s="3" t="n"/>
      <c r="K64" s="3" t="n"/>
      <c r="L64" s="3" t="n"/>
      <c r="M64" s="3" t="n"/>
      <c r="N64" s="3" t="n"/>
      <c r="R64" s="3" t="n"/>
      <c r="S64" s="3" t="n"/>
      <c r="T64" s="3" t="n"/>
      <c r="U64" s="3" t="n"/>
      <c r="AA64">
        <f>E64 *1.88541666666666</f>
        <v/>
      </c>
      <c r="AB64" s="3">
        <f>1.88541666666666 * (E64 - AA64)^2</f>
        <v/>
      </c>
      <c r="AC64" s="3" t="n"/>
      <c r="AD64" s="3" t="n"/>
      <c r="AJ64" s="3" t="n"/>
      <c r="AK64" s="3" t="n"/>
      <c r="AL64" s="3" t="n"/>
      <c r="AM64" s="3" t="n"/>
      <c r="AN64" s="3" t="n"/>
      <c r="AT64" s="3" t="n"/>
      <c r="AU64" s="3" t="n"/>
      <c r="AV64" s="3" t="n"/>
      <c r="AW64" s="3" t="n"/>
      <c r="AX64" s="3" t="n"/>
      <c r="AY64" s="3" t="n"/>
    </row>
    <row r="65">
      <c r="A65" s="3" t="inlineStr">
        <is>
          <t>Fearow</t>
        </is>
      </c>
      <c r="B65" s="3" t="inlineStr">
        <is>
          <t>uncommon</t>
        </is>
      </c>
      <c r="C65" s="3" t="n">
        <v>62</v>
      </c>
      <c r="D65" s="3" t="n">
        <v>0.07000000000000001</v>
      </c>
      <c r="E65" s="3" t="n">
        <v>0.2</v>
      </c>
      <c r="F65" s="3">
        <f>IF(B65="common", 4, IF(B65="uncommon", 3, IF(B65="rare", 0.73878, 1)))</f>
        <v/>
      </c>
      <c r="G65" s="3" t="n"/>
      <c r="H65" s="3" t="n"/>
      <c r="I65" s="3" t="n"/>
      <c r="J65" s="3" t="n"/>
      <c r="K65" s="3" t="n"/>
      <c r="L65" s="3" t="n"/>
      <c r="M65" s="3" t="n"/>
      <c r="N65" s="3" t="n"/>
      <c r="R65" s="3" t="n"/>
      <c r="S65" s="3" t="n"/>
      <c r="T65" s="3" t="n"/>
      <c r="U65" s="3" t="n"/>
      <c r="AA65">
        <f>E65 *1.88541666666666</f>
        <v/>
      </c>
      <c r="AB65" s="3">
        <f>1.88541666666666 * (E65 - AA65)^2</f>
        <v/>
      </c>
      <c r="AC65" s="3" t="n"/>
      <c r="AD65" s="3" t="n"/>
      <c r="AJ65" s="3" t="n"/>
      <c r="AK65" s="3" t="n"/>
      <c r="AL65" s="3" t="n"/>
      <c r="AM65" s="3" t="n"/>
      <c r="AN65" s="3" t="n"/>
      <c r="AT65" s="3" t="n"/>
      <c r="AU65" s="3" t="n"/>
      <c r="AV65" s="3" t="n"/>
      <c r="AW65" s="3" t="n"/>
      <c r="AX65" s="3" t="n"/>
      <c r="AY65" s="3" t="n"/>
    </row>
    <row r="66">
      <c r="A66" s="3" t="inlineStr">
        <is>
          <t>Flareon</t>
        </is>
      </c>
      <c r="B66" s="3" t="inlineStr">
        <is>
          <t>rare</t>
        </is>
      </c>
      <c r="C66" s="3" t="n">
        <v>26</v>
      </c>
      <c r="D66" s="3" t="n">
        <v>0.17</v>
      </c>
      <c r="E66" s="3" t="n">
        <v>1.32</v>
      </c>
      <c r="F66" s="3">
        <f>IF(B66="common", 4, IF(B66="uncommon", 3, IF(B66="rare", 0.73878, 1)))</f>
        <v/>
      </c>
      <c r="G66" s="3" t="n"/>
      <c r="H66" s="3" t="n"/>
      <c r="I66" s="3" t="n"/>
      <c r="J66" s="3" t="n"/>
      <c r="K66" s="3" t="n"/>
      <c r="L66" s="3" t="n"/>
      <c r="M66" s="3" t="n"/>
      <c r="N66" s="3" t="n"/>
      <c r="R66" s="3" t="n"/>
      <c r="S66" s="3" t="n"/>
      <c r="T66" s="3" t="n"/>
      <c r="U66" s="3" t="n"/>
      <c r="AA66">
        <f>E66 *1.88541666666666</f>
        <v/>
      </c>
      <c r="AB66" s="3">
        <f>1.88541666666666 * (E66 - AA66)^2</f>
        <v/>
      </c>
      <c r="AC66" s="3" t="n"/>
      <c r="AD66" s="3" t="n"/>
      <c r="AJ66" s="3" t="n"/>
      <c r="AK66" s="3" t="n"/>
      <c r="AL66" s="3" t="n"/>
      <c r="AM66" s="3" t="n"/>
      <c r="AN66" s="3" t="n"/>
      <c r="AT66" s="3" t="n"/>
      <c r="AU66" s="3" t="n"/>
      <c r="AV66" s="3" t="n"/>
      <c r="AW66" s="3" t="n"/>
      <c r="AX66" s="3" t="n"/>
      <c r="AY66" s="3" t="n"/>
    </row>
    <row r="67">
      <c r="A67" s="3" t="inlineStr">
        <is>
          <t>Gastly</t>
        </is>
      </c>
      <c r="B67" s="3" t="inlineStr">
        <is>
          <t>common</t>
        </is>
      </c>
      <c r="C67" s="3" t="n">
        <v>66</v>
      </c>
      <c r="D67" s="3" t="n">
        <v>0.08</v>
      </c>
      <c r="E67" s="3" t="n">
        <v>0.22</v>
      </c>
      <c r="F67" s="3">
        <f>IF(B67="common", 4, IF(B67="uncommon", 3, IF(B67="rare", 0.73878, 1)))</f>
        <v/>
      </c>
      <c r="G67" s="3" t="n"/>
      <c r="H67" s="3" t="n"/>
      <c r="I67" s="3" t="n"/>
      <c r="J67" s="3" t="n"/>
      <c r="K67" s="3" t="n"/>
      <c r="L67" s="3" t="n"/>
      <c r="M67" s="3" t="n"/>
      <c r="N67" s="3" t="n"/>
      <c r="R67" s="3" t="n"/>
      <c r="S67" s="3" t="n"/>
      <c r="T67" s="3" t="n"/>
      <c r="U67" s="3" t="n"/>
      <c r="AA67">
        <f>E67 *1.88541666666666</f>
        <v/>
      </c>
      <c r="AB67" s="3">
        <f>1.88541666666666 * (E67  -  AA67)^2</f>
        <v/>
      </c>
      <c r="AC67" s="3" t="n"/>
      <c r="AD67" s="3" t="n"/>
      <c r="AJ67" s="3" t="n"/>
      <c r="AK67" s="3" t="n"/>
      <c r="AL67" s="3" t="n"/>
      <c r="AM67" s="3" t="n"/>
      <c r="AN67" s="3" t="n"/>
      <c r="AT67" s="3" t="n"/>
      <c r="AU67" s="3" t="n"/>
      <c r="AV67" s="3" t="n"/>
      <c r="AW67" s="3" t="n"/>
      <c r="AX67" s="3" t="n"/>
      <c r="AY67" s="3" t="n"/>
    </row>
    <row r="68">
      <c r="A68" s="3" t="inlineStr">
        <is>
          <t>Gengar</t>
        </is>
      </c>
      <c r="B68" s="3" t="inlineStr">
        <is>
          <t>rare</t>
        </is>
      </c>
      <c r="C68" s="3" t="n">
        <v>26</v>
      </c>
      <c r="D68" s="3" t="n">
        <v>0.3</v>
      </c>
      <c r="E68" s="3" t="n">
        <v>2.29</v>
      </c>
      <c r="F68" s="3">
        <f>IF(B68="common", 4, IF(B68="uncommon", 3, IF(B68="rare", 0.73878, 1)))</f>
        <v/>
      </c>
      <c r="G68" s="3" t="n"/>
      <c r="H68" s="3" t="n"/>
      <c r="I68" s="3" t="n"/>
      <c r="J68" s="3" t="n"/>
      <c r="K68" s="3" t="n"/>
      <c r="L68" s="3" t="n"/>
      <c r="M68" s="3" t="n"/>
      <c r="N68" s="3" t="n"/>
      <c r="R68" s="3" t="n"/>
      <c r="S68" s="3" t="n"/>
      <c r="T68" s="3" t="n"/>
      <c r="U68" s="3" t="n"/>
      <c r="AA68">
        <f>E68 *1.88541666666666</f>
        <v/>
      </c>
      <c r="AB68" s="3">
        <f>1.88541666666666 * (E68 - AA68)^2</f>
        <v/>
      </c>
      <c r="AC68" s="3" t="n"/>
      <c r="AD68" s="3" t="n"/>
      <c r="AJ68" s="3" t="n"/>
      <c r="AK68" s="3" t="n"/>
      <c r="AL68" s="3" t="n"/>
      <c r="AM68" s="3" t="n"/>
      <c r="AN68" s="3" t="n"/>
      <c r="AT68" s="3" t="n"/>
      <c r="AU68" s="3" t="n"/>
      <c r="AV68" s="3" t="n"/>
      <c r="AW68" s="3" t="n"/>
      <c r="AX68" s="3" t="n"/>
      <c r="AY68" s="3" t="n"/>
    </row>
    <row r="69">
      <c r="A69" s="3" t="inlineStr">
        <is>
          <t>Geodude</t>
        </is>
      </c>
      <c r="B69" s="3" t="inlineStr">
        <is>
          <t>common</t>
        </is>
      </c>
      <c r="C69" s="3" t="n">
        <v>66</v>
      </c>
      <c r="D69" s="3" t="n">
        <v>0.08</v>
      </c>
      <c r="E69" s="3" t="n">
        <v>0.14</v>
      </c>
      <c r="F69" s="3">
        <f>IF(B69="common", 4, IF(B69="uncommon", 3, IF(B69="rare", 0.73878, 1)))</f>
        <v/>
      </c>
      <c r="G69" s="3" t="n"/>
      <c r="H69" s="3" t="n"/>
      <c r="I69" s="3" t="n"/>
      <c r="J69" s="3" t="n"/>
      <c r="K69" s="3" t="n"/>
      <c r="L69" s="3" t="n"/>
      <c r="M69" s="3" t="n"/>
      <c r="N69" s="3" t="n"/>
      <c r="R69" s="3" t="n"/>
      <c r="S69" s="3" t="n"/>
      <c r="T69" s="3" t="n"/>
      <c r="U69" s="3" t="n"/>
      <c r="AA69">
        <f>E69 *1.88541666666666</f>
        <v/>
      </c>
      <c r="AB69" s="3">
        <f>1.88541666666666 * (E69 - AA69)^2</f>
        <v/>
      </c>
      <c r="AC69" s="3" t="n"/>
      <c r="AD69" s="3" t="n"/>
      <c r="AJ69" s="3" t="n"/>
      <c r="AK69" s="3" t="n"/>
      <c r="AL69" s="3" t="n"/>
      <c r="AM69" s="3" t="n"/>
      <c r="AN69" s="3" t="n"/>
      <c r="AT69" s="3" t="n"/>
      <c r="AU69" s="3" t="n"/>
      <c r="AV69" s="3" t="n"/>
      <c r="AW69" s="3" t="n"/>
      <c r="AX69" s="3" t="n"/>
      <c r="AY69" s="3" t="n"/>
    </row>
    <row r="70">
      <c r="A70" s="3" t="inlineStr">
        <is>
          <t>Giovanni's Charisma - 161/165</t>
        </is>
      </c>
      <c r="B70" s="3" t="inlineStr">
        <is>
          <t>uncommon</t>
        </is>
      </c>
      <c r="C70" s="3" t="n">
        <v>62</v>
      </c>
      <c r="D70" s="3" t="n">
        <v>0.09</v>
      </c>
      <c r="E70" s="3" t="n">
        <v>0.78</v>
      </c>
      <c r="F70" s="3">
        <f>IF(B70="common", 4, IF(B70="uncommon", 3, IF(B70="rare", 0.73878, 1)))</f>
        <v/>
      </c>
      <c r="G70" s="3" t="n"/>
      <c r="H70" s="3" t="n"/>
      <c r="I70" s="3" t="n"/>
      <c r="J70" s="3" t="n"/>
      <c r="K70" s="3" t="n"/>
      <c r="L70" s="3" t="n"/>
      <c r="M70" s="3" t="n"/>
      <c r="N70" s="3" t="n"/>
      <c r="R70" s="3" t="n"/>
      <c r="S70" s="3" t="n"/>
      <c r="T70" s="3" t="n"/>
      <c r="U70" s="3" t="n"/>
      <c r="AA70">
        <f>E70 *1.88541666666666</f>
        <v/>
      </c>
      <c r="AB70" s="3">
        <f>1.88541666666666 * (E70 - AA70)^2</f>
        <v/>
      </c>
      <c r="AC70" s="3" t="n"/>
      <c r="AD70" s="3" t="n"/>
      <c r="AJ70" s="3" t="n"/>
      <c r="AK70" s="3" t="n"/>
      <c r="AL70" s="3" t="n"/>
      <c r="AM70" s="3" t="n"/>
      <c r="AN70" s="3" t="n"/>
      <c r="AT70" s="3" t="n"/>
      <c r="AU70" s="3" t="n"/>
      <c r="AV70" s="3" t="n"/>
      <c r="AW70" s="3" t="n"/>
      <c r="AX70" s="3" t="n"/>
      <c r="AY70" s="3" t="n"/>
    </row>
    <row r="71">
      <c r="A71" s="3" t="inlineStr">
        <is>
          <t>Giovanni's Charisma - 197/165</t>
        </is>
      </c>
      <c r="B71" s="3" t="inlineStr">
        <is>
          <t>ultra rare</t>
        </is>
      </c>
      <c r="C71" s="3" t="n">
        <v>248</v>
      </c>
      <c r="D71" s="3" t="n">
        <v>3.94</v>
      </c>
      <c r="E71" s="3" t="n"/>
      <c r="F71" s="3">
        <f>IF(B71="common", 4, IF(B71="uncommon", 3, IF(B71="rare", 0.73878, 1)))</f>
        <v/>
      </c>
      <c r="G71" s="3" t="n"/>
      <c r="H71" s="3" t="n"/>
      <c r="I71" s="3" t="n"/>
      <c r="J71" s="3" t="n"/>
      <c r="K71" s="3" t="n"/>
      <c r="L71" s="3" t="n"/>
      <c r="M71" s="3" t="n"/>
      <c r="N71" s="3" t="n"/>
      <c r="R71" s="3" t="n"/>
      <c r="S71" s="3" t="n"/>
      <c r="T71" s="3" t="n"/>
      <c r="U71" s="3" t="n"/>
      <c r="AA71">
        <f>E71 *1.88541666666666</f>
        <v/>
      </c>
      <c r="AB71" s="3">
        <f>1.88541666666666 * (E71 - AA71)^2</f>
        <v/>
      </c>
      <c r="AC71" s="3" t="n"/>
      <c r="AD71" s="3" t="n"/>
      <c r="AJ71" s="3" t="n"/>
      <c r="AK71" s="3" t="n"/>
      <c r="AL71" s="3" t="n"/>
      <c r="AM71" s="3" t="n"/>
      <c r="AN71" s="3" t="n"/>
      <c r="AT71" s="3" t="n"/>
      <c r="AU71" s="3" t="n"/>
      <c r="AV71" s="3" t="n"/>
      <c r="AW71" s="3" t="n"/>
      <c r="AX71" s="3" t="n"/>
      <c r="AY71" s="3" t="n"/>
    </row>
    <row r="72">
      <c r="A72" s="3" t="inlineStr">
        <is>
          <t>Giovanni's Charisma - 204/165</t>
        </is>
      </c>
      <c r="B72" s="3" t="inlineStr">
        <is>
          <t>special illustration rare</t>
        </is>
      </c>
      <c r="C72" s="3" t="n">
        <v>225</v>
      </c>
      <c r="D72" s="3" t="n">
        <v>11.49</v>
      </c>
      <c r="E72" s="3" t="n"/>
      <c r="F72" s="3">
        <f>IF(B72="common", 4, IF(B72="uncommon", 3, IF(B72="rare", 0.73878, 1)))</f>
        <v/>
      </c>
      <c r="G72" s="3" t="n"/>
      <c r="H72" s="3" t="n"/>
      <c r="I72" s="3" t="n"/>
      <c r="J72" s="3" t="n"/>
      <c r="K72" s="3" t="n"/>
      <c r="L72" s="3" t="n"/>
      <c r="M72" s="3" t="n"/>
      <c r="N72" s="3" t="n"/>
      <c r="R72" s="3" t="n"/>
      <c r="S72" s="3" t="n"/>
      <c r="T72" s="3" t="n"/>
      <c r="U72" s="3" t="n"/>
      <c r="AA72">
        <f>E72 *1.88541666666666</f>
        <v/>
      </c>
      <c r="AB72" s="3">
        <f>1.88541666666666 * (E72 - AA72)^2</f>
        <v/>
      </c>
      <c r="AC72" s="3" t="n"/>
      <c r="AD72" s="3" t="n"/>
      <c r="AJ72" s="3" t="n"/>
      <c r="AK72" s="3" t="n"/>
      <c r="AL72" s="3" t="n"/>
      <c r="AM72" s="3" t="n"/>
      <c r="AN72" s="3" t="n"/>
      <c r="AT72" s="3" t="n"/>
      <c r="AU72" s="3" t="n"/>
      <c r="AV72" s="3" t="n"/>
      <c r="AW72" s="3" t="n"/>
      <c r="AX72" s="3" t="n"/>
      <c r="AY72" s="3" t="n"/>
    </row>
    <row r="73">
      <c r="A73" s="3" t="inlineStr">
        <is>
          <t>Gloom</t>
        </is>
      </c>
      <c r="B73" s="3" t="inlineStr">
        <is>
          <t>uncommon</t>
        </is>
      </c>
      <c r="C73" s="3" t="n">
        <v>62</v>
      </c>
      <c r="D73" s="3" t="n">
        <v>0.08</v>
      </c>
      <c r="E73" s="3" t="n">
        <v>0.16</v>
      </c>
      <c r="F73" s="3">
        <f>IF(B73="common", 4, IF(B73="uncommon", 3, IF(B73="rare", 0.73878, 1)))</f>
        <v/>
      </c>
      <c r="G73" s="3" t="n"/>
      <c r="H73" s="3" t="n"/>
      <c r="I73" s="3" t="n"/>
      <c r="J73" s="3" t="n"/>
      <c r="K73" s="3" t="n"/>
      <c r="L73" s="3" t="n"/>
      <c r="M73" s="3" t="n"/>
      <c r="N73" s="3" t="n"/>
      <c r="R73" s="3" t="n"/>
      <c r="S73" s="3" t="n"/>
      <c r="T73" s="3" t="n"/>
      <c r="U73" s="3" t="n"/>
      <c r="AA73">
        <f>E73 *1.88541666666666</f>
        <v/>
      </c>
      <c r="AB73" s="3">
        <f>1.88541666666666 * (E73 - AA73)^2</f>
        <v/>
      </c>
      <c r="AC73" s="3" t="n"/>
      <c r="AD73" s="3" t="n"/>
      <c r="AJ73" s="3" t="n"/>
      <c r="AK73" s="3" t="n"/>
      <c r="AL73" s="3" t="n"/>
      <c r="AM73" s="3" t="n"/>
      <c r="AN73" s="3" t="n"/>
      <c r="AT73" s="3" t="n"/>
      <c r="AU73" s="3" t="n"/>
      <c r="AV73" s="3" t="n"/>
      <c r="AW73" s="3" t="n"/>
      <c r="AX73" s="3" t="n"/>
      <c r="AY73" s="3" t="n"/>
    </row>
    <row r="74">
      <c r="A74" s="3" t="inlineStr">
        <is>
          <t>Golbat</t>
        </is>
      </c>
      <c r="B74" s="3" t="inlineStr">
        <is>
          <t>uncommon</t>
        </is>
      </c>
      <c r="C74" s="3" t="n">
        <v>62</v>
      </c>
      <c r="D74" s="3" t="n">
        <v>0.1</v>
      </c>
      <c r="E74" s="3" t="n">
        <v>0.14</v>
      </c>
      <c r="F74" s="3">
        <f>IF(B74="common", 4, IF(B74="uncommon", 3, IF(B74="rare", 0.73878, 1)))</f>
        <v/>
      </c>
      <c r="G74" s="3" t="n"/>
      <c r="H74" s="3" t="n"/>
      <c r="I74" s="3" t="n"/>
      <c r="J74" s="3" t="n"/>
      <c r="K74" s="3" t="n"/>
      <c r="L74" s="3" t="n"/>
      <c r="M74" s="3" t="n"/>
      <c r="N74" s="3" t="n"/>
      <c r="R74" s="3" t="n"/>
      <c r="S74" s="3" t="n"/>
      <c r="T74" s="3" t="n"/>
      <c r="U74" s="3" t="n"/>
      <c r="AA74">
        <f>E74 *1.88541666666666</f>
        <v/>
      </c>
      <c r="AB74" s="3">
        <f>1.88541666666666 * (E74 - AA74)^2</f>
        <v/>
      </c>
      <c r="AC74" s="3" t="n"/>
      <c r="AD74" s="3" t="n"/>
      <c r="AJ74" s="3" t="n"/>
      <c r="AK74" s="3" t="n"/>
      <c r="AL74" s="3" t="n"/>
      <c r="AM74" s="3" t="n"/>
      <c r="AN74" s="3" t="n"/>
      <c r="AT74" s="3" t="n"/>
      <c r="AU74" s="3" t="n"/>
      <c r="AV74" s="3" t="n"/>
      <c r="AW74" s="3" t="n"/>
      <c r="AX74" s="3" t="n"/>
      <c r="AY74" s="3" t="n"/>
    </row>
    <row r="75">
      <c r="A75" s="3" t="inlineStr">
        <is>
          <t>Goldeen</t>
        </is>
      </c>
      <c r="B75" s="3" t="inlineStr">
        <is>
          <t>common</t>
        </is>
      </c>
      <c r="C75" s="3" t="n">
        <v>66</v>
      </c>
      <c r="D75" s="3" t="n">
        <v>0.08</v>
      </c>
      <c r="E75" s="3" t="n">
        <v>0.14</v>
      </c>
      <c r="F75" s="3">
        <f>IF(B75="common", 4, IF(B75="uncommon", 3, IF(B75="rare", 0.73878, 1)))</f>
        <v/>
      </c>
      <c r="G75" s="3" t="n"/>
      <c r="H75" s="3" t="n"/>
      <c r="I75" s="3" t="n"/>
      <c r="J75" s="3" t="n"/>
      <c r="K75" s="3" t="n"/>
      <c r="L75" s="3" t="n"/>
      <c r="M75" s="3" t="n"/>
      <c r="N75" s="3" t="n"/>
      <c r="R75" s="3" t="n"/>
      <c r="S75" s="3" t="n"/>
      <c r="T75" s="3" t="n"/>
      <c r="U75" s="3" t="n"/>
      <c r="AA75">
        <f>E75 *1.88541666666666</f>
        <v/>
      </c>
      <c r="AB75" s="3">
        <f>1.88541666666666 * (E75 - AA75)^2</f>
        <v/>
      </c>
      <c r="AC75" s="3" t="n"/>
      <c r="AD75" s="3" t="n"/>
      <c r="AJ75" s="3" t="n"/>
      <c r="AK75" s="3" t="n"/>
      <c r="AL75" s="3" t="n"/>
      <c r="AM75" s="3" t="n"/>
      <c r="AN75" s="3" t="n"/>
      <c r="AT75" s="3" t="n"/>
      <c r="AU75" s="3" t="n"/>
      <c r="AV75" s="3" t="n"/>
      <c r="AW75" s="3" t="n"/>
      <c r="AX75" s="3" t="n"/>
      <c r="AY75" s="3" t="n"/>
    </row>
    <row r="76">
      <c r="A76" s="3" t="inlineStr">
        <is>
          <t>Golduck</t>
        </is>
      </c>
      <c r="B76" s="3" t="inlineStr">
        <is>
          <t>uncommon</t>
        </is>
      </c>
      <c r="C76" s="3" t="n">
        <v>62</v>
      </c>
      <c r="D76" s="3" t="n">
        <v>0.06</v>
      </c>
      <c r="E76" s="3" t="n">
        <v>0.19</v>
      </c>
      <c r="F76" s="3">
        <f>IF(B76="common", 4, IF(B76="uncommon", 3, IF(B76="rare", 0.73878, 1)))</f>
        <v/>
      </c>
      <c r="G76" s="3" t="n"/>
      <c r="H76" s="3" t="n"/>
      <c r="I76" s="3" t="n"/>
      <c r="J76" s="3" t="n"/>
      <c r="K76" s="3" t="n"/>
      <c r="L76" s="3" t="n"/>
      <c r="M76" s="3" t="n"/>
      <c r="N76" s="3" t="n"/>
      <c r="R76" s="3" t="n"/>
      <c r="S76" s="3" t="n"/>
      <c r="T76" s="3" t="n"/>
      <c r="U76" s="3" t="n"/>
      <c r="AA76">
        <f>E76 *1.88541666666666</f>
        <v/>
      </c>
      <c r="AB76" s="3">
        <f>1.88541666666666 * (E76 - AA76)^2</f>
        <v/>
      </c>
      <c r="AC76" s="3" t="n"/>
      <c r="AD76" s="3" t="n"/>
      <c r="AJ76" s="3" t="n"/>
      <c r="AK76" s="3" t="n"/>
      <c r="AL76" s="3" t="n"/>
      <c r="AM76" s="3" t="n"/>
      <c r="AN76" s="3" t="n"/>
      <c r="AT76" s="3" t="n"/>
      <c r="AU76" s="3" t="n"/>
      <c r="AV76" s="3" t="n"/>
      <c r="AW76" s="3" t="n"/>
      <c r="AX76" s="3" t="n"/>
      <c r="AY76" s="3" t="n"/>
    </row>
    <row r="77">
      <c r="A77" s="3" t="inlineStr">
        <is>
          <t>Golem ex - 076/165</t>
        </is>
      </c>
      <c r="B77" s="3" t="inlineStr">
        <is>
          <t>double rare</t>
        </is>
      </c>
      <c r="C77" s="3" t="n">
        <v>90</v>
      </c>
      <c r="D77" s="3" t="n">
        <v>0.97</v>
      </c>
      <c r="E77" s="3" t="n"/>
      <c r="F77" s="3">
        <f>IF(B77="common", 4, IF(B77="uncommon", 3, IF(B77="rare", 0.73878, 1)))</f>
        <v/>
      </c>
      <c r="G77" s="3" t="n"/>
      <c r="H77" s="3" t="n"/>
      <c r="I77" s="3" t="n"/>
      <c r="J77" s="3" t="n"/>
      <c r="K77" s="3" t="n"/>
      <c r="L77" s="3" t="n"/>
      <c r="M77" s="3" t="n"/>
      <c r="N77" s="3" t="n"/>
      <c r="R77" s="3" t="n"/>
      <c r="S77" s="3" t="n"/>
      <c r="T77" s="3" t="n"/>
      <c r="U77" s="3" t="n"/>
      <c r="AA77">
        <f>E77 *1.88541666666666</f>
        <v/>
      </c>
      <c r="AB77" s="3">
        <f>1.88541666666666 * (E77 - AA77)^2</f>
        <v/>
      </c>
      <c r="AC77" s="3" t="n"/>
      <c r="AD77" s="3" t="n"/>
      <c r="AJ77" s="3" t="n"/>
      <c r="AK77" s="3" t="n"/>
      <c r="AL77" s="3" t="n"/>
      <c r="AM77" s="3" t="n"/>
      <c r="AN77" s="3" t="n"/>
      <c r="AT77" s="3" t="n"/>
      <c r="AU77" s="3" t="n"/>
      <c r="AV77" s="3" t="n"/>
      <c r="AW77" s="3" t="n"/>
      <c r="AX77" s="3" t="n"/>
      <c r="AY77" s="3" t="n"/>
    </row>
    <row r="78">
      <c r="A78" s="3" t="inlineStr">
        <is>
          <t>Golem ex - 189/165</t>
        </is>
      </c>
      <c r="B78" s="3" t="inlineStr">
        <is>
          <t>ultra rare</t>
        </is>
      </c>
      <c r="C78" s="3" t="n">
        <v>248</v>
      </c>
      <c r="D78" s="3" t="n">
        <v>5.24</v>
      </c>
      <c r="E78" s="3" t="n"/>
      <c r="F78" s="3">
        <f>IF(B78="common", 4, IF(B78="uncommon", 3, IF(B78="rare", 0.73878, 1)))</f>
        <v/>
      </c>
      <c r="G78" s="3" t="n"/>
      <c r="H78" s="3" t="n"/>
      <c r="I78" s="3" t="n"/>
      <c r="J78" s="3" t="n"/>
      <c r="K78" s="3" t="n"/>
      <c r="L78" s="3" t="n"/>
      <c r="M78" s="3" t="n"/>
      <c r="N78" s="3" t="n"/>
      <c r="R78" s="3" t="n"/>
      <c r="S78" s="3" t="n"/>
      <c r="T78" s="3" t="n"/>
      <c r="U78" s="3" t="n"/>
      <c r="AA78">
        <f>E78 *1.88541666666666</f>
        <v/>
      </c>
      <c r="AB78" s="3">
        <f>1.88541666666666 * (E78 - AA78)^2</f>
        <v/>
      </c>
      <c r="AC78" s="3" t="n"/>
      <c r="AD78" s="3" t="n"/>
      <c r="AJ78" s="3" t="n"/>
      <c r="AK78" s="3" t="n"/>
      <c r="AL78" s="3" t="n"/>
      <c r="AM78" s="3" t="n"/>
      <c r="AN78" s="3" t="n"/>
      <c r="AT78" s="3" t="n"/>
      <c r="AU78" s="3" t="n"/>
      <c r="AV78" s="3" t="n"/>
      <c r="AW78" s="3" t="n"/>
      <c r="AX78" s="3" t="n"/>
      <c r="AY78" s="3" t="n"/>
    </row>
    <row r="79">
      <c r="A79" s="3" t="inlineStr">
        <is>
          <t>Grabber</t>
        </is>
      </c>
      <c r="B79" s="3" t="inlineStr">
        <is>
          <t>uncommon</t>
        </is>
      </c>
      <c r="C79" s="3" t="n">
        <v>62</v>
      </c>
      <c r="D79" s="3" t="n">
        <v>0.13</v>
      </c>
      <c r="E79" s="3" t="n">
        <v>1</v>
      </c>
      <c r="F79" s="3">
        <f>IF(B79="common", 4, IF(B79="uncommon", 3, IF(B79="rare", 0.73878, 1)))</f>
        <v/>
      </c>
      <c r="G79" s="3" t="n"/>
      <c r="H79" s="3" t="n"/>
      <c r="I79" s="3" t="n"/>
      <c r="J79" s="3" t="n"/>
      <c r="K79" s="3" t="n"/>
      <c r="L79" s="3" t="n"/>
      <c r="M79" s="3" t="n"/>
      <c r="N79" s="3" t="n"/>
      <c r="R79" s="3" t="n"/>
      <c r="S79" s="3" t="n"/>
      <c r="T79" s="3" t="n"/>
      <c r="U79" s="3" t="n"/>
      <c r="AA79">
        <f>E79 *1.88541666666666</f>
        <v/>
      </c>
      <c r="AB79" s="3">
        <f>1.88541666666666 * (E79 - AA79)^2</f>
        <v/>
      </c>
      <c r="AC79" s="3" t="n"/>
      <c r="AD79" s="3" t="n"/>
      <c r="AJ79" s="3" t="n"/>
      <c r="AK79" s="3" t="n"/>
      <c r="AL79" s="3" t="n"/>
      <c r="AM79" s="3" t="n"/>
      <c r="AN79" s="3" t="n"/>
      <c r="AT79" s="3" t="n"/>
      <c r="AU79" s="3" t="n"/>
      <c r="AV79" s="3" t="n"/>
      <c r="AW79" s="3" t="n"/>
      <c r="AX79" s="3" t="n"/>
      <c r="AY79" s="3" t="n"/>
    </row>
    <row r="80">
      <c r="A80" s="3" t="inlineStr">
        <is>
          <t>Graveler</t>
        </is>
      </c>
      <c r="B80" s="3" t="inlineStr">
        <is>
          <t>uncommon</t>
        </is>
      </c>
      <c r="C80" s="3" t="n">
        <v>62</v>
      </c>
      <c r="D80" s="3" t="n">
        <v>0.08</v>
      </c>
      <c r="E80" s="3" t="n">
        <v>0.15</v>
      </c>
      <c r="F80" s="3">
        <f>IF(B80="common", 4, IF(B80="uncommon", 3, IF(B80="rare", 0.73878, 1)))</f>
        <v/>
      </c>
      <c r="G80" s="3" t="n"/>
      <c r="H80" s="3" t="n"/>
      <c r="I80" s="3" t="n"/>
      <c r="J80" s="3" t="n"/>
      <c r="K80" s="3" t="n"/>
      <c r="L80" s="3" t="n"/>
      <c r="M80" s="3" t="n"/>
      <c r="N80" s="3" t="n"/>
      <c r="R80" s="3" t="n"/>
      <c r="S80" s="3" t="n"/>
      <c r="T80" s="3" t="n"/>
      <c r="U80" s="3" t="n"/>
      <c r="AA80">
        <f>E80 *1.88541666666666</f>
        <v/>
      </c>
      <c r="AB80" s="3">
        <f>1.88541666666666 * (E80 - AA80)^2</f>
        <v/>
      </c>
      <c r="AC80" s="3" t="n"/>
      <c r="AD80" s="3" t="n"/>
      <c r="AJ80" s="3" t="n"/>
      <c r="AK80" s="3" t="n"/>
      <c r="AL80" s="3" t="n"/>
      <c r="AM80" s="3" t="n"/>
      <c r="AN80" s="3" t="n"/>
      <c r="AT80" s="3" t="n"/>
      <c r="AU80" s="3" t="n"/>
      <c r="AV80" s="3" t="n"/>
      <c r="AW80" s="3" t="n"/>
      <c r="AX80" s="3" t="n"/>
      <c r="AY80" s="3" t="n"/>
    </row>
    <row r="81">
      <c r="A81" s="3" t="inlineStr">
        <is>
          <t>Grimer</t>
        </is>
      </c>
      <c r="B81" s="3" t="inlineStr">
        <is>
          <t>common</t>
        </is>
      </c>
      <c r="C81" s="3" t="n">
        <v>66</v>
      </c>
      <c r="D81" s="3" t="n">
        <v>0.07000000000000001</v>
      </c>
      <c r="E81" s="3" t="n">
        <v>0.16</v>
      </c>
      <c r="F81" s="3">
        <f>IF(B81="common", 4, IF(B81="uncommon", 3, IF(B81="rare", 0.73878, 1)))</f>
        <v/>
      </c>
      <c r="G81" s="3" t="n"/>
      <c r="H81" s="3" t="n"/>
      <c r="I81" s="3" t="n"/>
      <c r="J81" s="3" t="n"/>
      <c r="K81" s="3" t="n"/>
      <c r="L81" s="3" t="n"/>
      <c r="M81" s="3" t="n"/>
      <c r="N81" s="3" t="n"/>
      <c r="R81" s="3" t="n"/>
      <c r="S81" s="3" t="n"/>
      <c r="T81" s="3" t="n"/>
      <c r="U81" s="3" t="n"/>
      <c r="AA81">
        <f>E81 *1.88541666666666</f>
        <v/>
      </c>
      <c r="AB81" s="3">
        <f>1.88541666666666 * (E81 - AA81)^2</f>
        <v/>
      </c>
      <c r="AC81" s="3" t="n"/>
      <c r="AD81" s="3" t="n"/>
      <c r="AJ81" s="3" t="n"/>
      <c r="AK81" s="3" t="n"/>
      <c r="AL81" s="3" t="n"/>
      <c r="AM81" s="3" t="n"/>
      <c r="AN81" s="3" t="n"/>
      <c r="AT81" s="3" t="n"/>
      <c r="AU81" s="3" t="n"/>
      <c r="AV81" s="3" t="n"/>
      <c r="AW81" s="3" t="n"/>
      <c r="AX81" s="3" t="n"/>
      <c r="AY81" s="3" t="n"/>
    </row>
    <row r="82">
      <c r="A82" s="3" t="inlineStr">
        <is>
          <t>Growlithe</t>
        </is>
      </c>
      <c r="B82" s="3" t="inlineStr">
        <is>
          <t>common</t>
        </is>
      </c>
      <c r="C82" s="3" t="n">
        <v>66</v>
      </c>
      <c r="D82" s="3" t="n">
        <v>0.1</v>
      </c>
      <c r="E82" s="3" t="n">
        <v>0.17</v>
      </c>
      <c r="F82" s="3">
        <f>IF(B82="common", 4, IF(B82="uncommon", 3, IF(B82="rare", 0.73878, 1)))</f>
        <v/>
      </c>
      <c r="G82" s="3" t="n"/>
      <c r="H82" s="3" t="n"/>
      <c r="I82" s="3" t="n"/>
      <c r="J82" s="3" t="n"/>
      <c r="K82" s="3" t="n"/>
      <c r="L82" s="3" t="n"/>
      <c r="M82" s="3" t="n"/>
      <c r="N82" s="3" t="n"/>
      <c r="R82" s="3" t="n"/>
      <c r="S82" s="3" t="n"/>
      <c r="T82" s="3" t="n"/>
      <c r="U82" s="3" t="n"/>
      <c r="AA82">
        <f>E82 *1.88541666666666</f>
        <v/>
      </c>
      <c r="AB82" s="3">
        <f>1.88541666666666 * (E82 - AA82)^2</f>
        <v/>
      </c>
      <c r="AC82" s="3" t="n"/>
      <c r="AD82" s="3" t="n"/>
      <c r="AJ82" s="3" t="n"/>
      <c r="AK82" s="3" t="n"/>
      <c r="AL82" s="3" t="n"/>
      <c r="AM82" s="3" t="n"/>
      <c r="AN82" s="3" t="n"/>
      <c r="AT82" s="3" t="n"/>
      <c r="AU82" s="3" t="n"/>
      <c r="AV82" s="3" t="n"/>
      <c r="AW82" s="3" t="n"/>
      <c r="AX82" s="3" t="n"/>
      <c r="AY82" s="3" t="n"/>
    </row>
    <row r="83">
      <c r="A83" s="3" t="inlineStr">
        <is>
          <t>Gyarados</t>
        </is>
      </c>
      <c r="B83" s="3" t="inlineStr">
        <is>
          <t>rare</t>
        </is>
      </c>
      <c r="C83" s="3" t="n">
        <v>26</v>
      </c>
      <c r="D83" s="3" t="n">
        <v>0.2</v>
      </c>
      <c r="E83" s="3" t="n">
        <v>0.98</v>
      </c>
      <c r="F83" s="3">
        <f>IF(B83="common", 4, IF(B83="uncommon", 3, IF(B83="rare", 0.73878, 1)))</f>
        <v/>
      </c>
      <c r="G83" s="3" t="n"/>
      <c r="H83" s="3" t="n"/>
      <c r="I83" s="3" t="n"/>
      <c r="J83" s="3" t="n"/>
      <c r="K83" s="3" t="n"/>
      <c r="L83" s="3" t="n"/>
      <c r="M83" s="3" t="n"/>
      <c r="N83" s="3" t="n"/>
      <c r="R83" s="3" t="n"/>
      <c r="S83" s="3" t="n"/>
      <c r="T83" s="3" t="n"/>
      <c r="U83" s="3" t="n"/>
      <c r="AA83">
        <f>E83 *1.88541666666666</f>
        <v/>
      </c>
      <c r="AB83" s="3">
        <f>1.88541666666666 * (E83 - AA83)^2</f>
        <v/>
      </c>
      <c r="AC83" s="3" t="n"/>
      <c r="AD83" s="3" t="n"/>
      <c r="AJ83" s="3" t="n"/>
      <c r="AK83" s="3" t="n"/>
      <c r="AL83" s="3" t="n"/>
      <c r="AM83" s="3" t="n"/>
      <c r="AN83" s="3" t="n"/>
      <c r="AT83" s="3" t="n"/>
      <c r="AU83" s="3" t="n"/>
      <c r="AV83" s="3" t="n"/>
      <c r="AW83" s="3" t="n"/>
      <c r="AX83" s="3" t="n"/>
      <c r="AY83" s="3" t="n"/>
    </row>
    <row r="84">
      <c r="A84" s="3" t="inlineStr">
        <is>
          <t>Haunter</t>
        </is>
      </c>
      <c r="B84" s="3" t="inlineStr">
        <is>
          <t>uncommon</t>
        </is>
      </c>
      <c r="C84" s="3" t="n">
        <v>62</v>
      </c>
      <c r="D84" s="3" t="n">
        <v>0.11</v>
      </c>
      <c r="E84" s="3" t="n">
        <v>0.2</v>
      </c>
      <c r="F84" s="3">
        <f>IF(B84="common", 4, IF(B84="uncommon", 3, IF(B84="rare", 0.73878, 1)))</f>
        <v/>
      </c>
      <c r="G84" s="3" t="n"/>
      <c r="H84" s="3" t="n"/>
      <c r="I84" s="3" t="n"/>
      <c r="J84" s="3" t="n"/>
      <c r="K84" s="3" t="n"/>
      <c r="L84" s="3" t="n"/>
      <c r="M84" s="3" t="n"/>
      <c r="N84" s="3" t="n"/>
      <c r="R84" s="3" t="n"/>
      <c r="S84" s="3" t="n"/>
      <c r="T84" s="3" t="n"/>
      <c r="U84" s="3" t="n"/>
      <c r="AA84">
        <f>E84 *1.88541666666666</f>
        <v/>
      </c>
      <c r="AB84" s="3">
        <f>1.88541666666666 * (E84 - AA84)^2</f>
        <v/>
      </c>
      <c r="AC84" s="3" t="n"/>
      <c r="AD84" s="3" t="n"/>
      <c r="AJ84" s="3" t="n"/>
      <c r="AK84" s="3" t="n"/>
      <c r="AL84" s="3" t="n"/>
      <c r="AM84" s="3" t="n"/>
      <c r="AN84" s="3" t="n"/>
      <c r="AT84" s="3" t="n"/>
      <c r="AU84" s="3" t="n"/>
      <c r="AV84" s="3" t="n"/>
      <c r="AW84" s="3" t="n"/>
      <c r="AX84" s="3" t="n"/>
      <c r="AY84" s="3" t="n"/>
    </row>
    <row r="85">
      <c r="A85" s="3" t="inlineStr">
        <is>
          <t>Hitmonchan</t>
        </is>
      </c>
      <c r="B85" s="3" t="inlineStr">
        <is>
          <t>uncommon</t>
        </is>
      </c>
      <c r="C85" s="3" t="n">
        <v>62</v>
      </c>
      <c r="D85" s="3" t="n">
        <v>0.11</v>
      </c>
      <c r="E85" s="3" t="n">
        <v>1.01</v>
      </c>
      <c r="F85" s="3">
        <f>IF(B85="common", 4, IF(B85="uncommon", 3, IF(B85="rare", 0.73878, 1)))</f>
        <v/>
      </c>
      <c r="G85" s="3" t="n"/>
      <c r="H85" s="3" t="n"/>
      <c r="I85" s="3" t="n"/>
      <c r="J85" s="3" t="n"/>
      <c r="K85" s="3" t="n"/>
      <c r="L85" s="3" t="n"/>
      <c r="M85" s="3" t="n"/>
      <c r="N85" s="3" t="n"/>
      <c r="R85" s="3" t="n"/>
      <c r="S85" s="3" t="n"/>
      <c r="T85" s="3" t="n"/>
      <c r="U85" s="3" t="n"/>
      <c r="AA85">
        <f>E85 *1.88541666666666</f>
        <v/>
      </c>
      <c r="AB85" s="3">
        <f>1.88541666666666 * (E85 - AA85)^2</f>
        <v/>
      </c>
      <c r="AC85" s="3" t="n"/>
      <c r="AD85" s="3" t="n"/>
      <c r="AJ85" s="3" t="n"/>
      <c r="AK85" s="3" t="n"/>
      <c r="AL85" s="3" t="n"/>
      <c r="AM85" s="3" t="n"/>
      <c r="AN85" s="3" t="n"/>
      <c r="AT85" s="3" t="n"/>
      <c r="AU85" s="3" t="n"/>
      <c r="AV85" s="3" t="n"/>
      <c r="AW85" s="3" t="n"/>
      <c r="AX85" s="3" t="n"/>
      <c r="AY85" s="3" t="n"/>
    </row>
    <row r="86">
      <c r="A86" s="3" t="inlineStr">
        <is>
          <t>Hitmonlee</t>
        </is>
      </c>
      <c r="B86" s="3" t="inlineStr">
        <is>
          <t>uncommon</t>
        </is>
      </c>
      <c r="C86" s="3" t="n">
        <v>62</v>
      </c>
      <c r="D86" s="3" t="n">
        <v>0.14</v>
      </c>
      <c r="E86" s="3" t="n">
        <v>1.09</v>
      </c>
      <c r="F86" s="3">
        <f>IF(B86="common", 4, IF(B86="uncommon", 3, IF(B86="rare", 0.73878, 1)))</f>
        <v/>
      </c>
      <c r="G86" s="3" t="n"/>
      <c r="H86" s="3" t="n"/>
      <c r="I86" s="3" t="n"/>
      <c r="J86" s="3" t="n"/>
      <c r="K86" s="3" t="n"/>
      <c r="L86" s="3" t="n"/>
      <c r="M86" s="3" t="n"/>
      <c r="N86" s="3" t="n"/>
      <c r="R86" s="3" t="n"/>
      <c r="S86" s="3" t="n"/>
      <c r="T86" s="3" t="n"/>
      <c r="U86" s="3" t="n"/>
      <c r="AA86">
        <f>E86 *1.88541666666666</f>
        <v/>
      </c>
      <c r="AB86" s="3">
        <f>1.88541666666666 * (E86 - AA86)^2</f>
        <v/>
      </c>
      <c r="AC86" s="3" t="n"/>
      <c r="AD86" s="3" t="n"/>
      <c r="AJ86" s="3" t="n"/>
      <c r="AK86" s="3" t="n"/>
      <c r="AL86" s="3" t="n"/>
      <c r="AM86" s="3" t="n"/>
      <c r="AN86" s="3" t="n"/>
      <c r="AT86" s="3" t="n"/>
      <c r="AU86" s="3" t="n"/>
      <c r="AV86" s="3" t="n"/>
      <c r="AW86" s="3" t="n"/>
      <c r="AX86" s="3" t="n"/>
      <c r="AY86" s="3" t="n"/>
    </row>
    <row r="87">
      <c r="A87" s="3" t="inlineStr">
        <is>
          <t>Horsea</t>
        </is>
      </c>
      <c r="B87" s="3" t="inlineStr">
        <is>
          <t>common</t>
        </is>
      </c>
      <c r="C87" s="3" t="n">
        <v>66</v>
      </c>
      <c r="D87" s="3" t="n">
        <v>0.06</v>
      </c>
      <c r="E87" s="3" t="n">
        <v>0.18</v>
      </c>
      <c r="F87" s="3">
        <f>IF(B87="common", 4, IF(B87="uncommon", 3, IF(B87="rare", 0.73878, 1)))</f>
        <v/>
      </c>
      <c r="G87" s="3" t="n"/>
      <c r="H87" s="3" t="n"/>
      <c r="I87" s="3" t="n"/>
      <c r="J87" s="3" t="n"/>
      <c r="K87" s="3" t="n"/>
      <c r="L87" s="3" t="n"/>
      <c r="M87" s="3" t="n"/>
      <c r="N87" s="3" t="n"/>
      <c r="R87" s="3" t="n"/>
      <c r="S87" s="3" t="n"/>
      <c r="T87" s="3" t="n"/>
      <c r="U87" s="3" t="n"/>
      <c r="AA87">
        <f>E87 *1.88541666666666</f>
        <v/>
      </c>
      <c r="AB87" s="3">
        <f>1.88541666666666 * (E87 - AA87)^2</f>
        <v/>
      </c>
      <c r="AC87" s="3" t="n"/>
      <c r="AD87" s="3" t="n"/>
      <c r="AJ87" s="3" t="n"/>
      <c r="AK87" s="3" t="n"/>
      <c r="AL87" s="3" t="n"/>
      <c r="AM87" s="3" t="n"/>
      <c r="AN87" s="3" t="n"/>
      <c r="AT87" s="3" t="n"/>
      <c r="AU87" s="3" t="n"/>
      <c r="AV87" s="3" t="n"/>
      <c r="AW87" s="3" t="n"/>
      <c r="AX87" s="3" t="n"/>
      <c r="AY87" s="3" t="n"/>
    </row>
    <row r="88">
      <c r="A88" s="3" t="inlineStr">
        <is>
          <t>Hypno</t>
        </is>
      </c>
      <c r="B88" s="3" t="inlineStr">
        <is>
          <t>uncommon</t>
        </is>
      </c>
      <c r="C88" s="3" t="n">
        <v>62</v>
      </c>
      <c r="D88" s="3" t="n">
        <v>0.08</v>
      </c>
      <c r="E88" s="3" t="n">
        <v>0.82</v>
      </c>
      <c r="F88" s="3">
        <f>IF(B88="common", 4, IF(B88="uncommon", 3, IF(B88="rare", 0.73878, 1)))</f>
        <v/>
      </c>
      <c r="G88" s="3" t="n"/>
      <c r="H88" s="3" t="n"/>
      <c r="I88" s="3" t="n"/>
      <c r="J88" s="3" t="n"/>
      <c r="K88" s="3" t="n"/>
      <c r="L88" s="3" t="n"/>
      <c r="M88" s="3" t="n"/>
      <c r="N88" s="3" t="n"/>
      <c r="R88" s="3" t="n"/>
      <c r="S88" s="3" t="n"/>
      <c r="T88" s="3" t="n"/>
      <c r="U88" s="3" t="n"/>
      <c r="AA88">
        <f>E88 *1.88541666666666</f>
        <v/>
      </c>
      <c r="AB88" s="3">
        <f>1.88541666666666 * (E88 - AA88)^2</f>
        <v/>
      </c>
      <c r="AC88" s="3" t="n"/>
      <c r="AD88" s="3" t="n"/>
      <c r="AJ88" s="3" t="n"/>
      <c r="AK88" s="3" t="n"/>
      <c r="AL88" s="3" t="n"/>
      <c r="AM88" s="3" t="n"/>
      <c r="AN88" s="3" t="n"/>
      <c r="AT88" s="3" t="n"/>
      <c r="AU88" s="3" t="n"/>
      <c r="AV88" s="3" t="n"/>
      <c r="AW88" s="3" t="n"/>
      <c r="AX88" s="3" t="n"/>
      <c r="AY88" s="3" t="n"/>
    </row>
    <row r="89">
      <c r="A89" s="3" t="inlineStr">
        <is>
          <t>Ivysaur - 002/165</t>
        </is>
      </c>
      <c r="B89" s="3" t="inlineStr">
        <is>
          <t>uncommon</t>
        </is>
      </c>
      <c r="C89" s="3" t="n">
        <v>62</v>
      </c>
      <c r="D89" s="3" t="n">
        <v>0.13</v>
      </c>
      <c r="E89" s="3" t="n">
        <v>0.26</v>
      </c>
      <c r="F89" s="3">
        <f>IF(B89="common", 4, IF(B89="uncommon", 3, IF(B89="rare", 0.73878, 1)))</f>
        <v/>
      </c>
      <c r="G89" s="3" t="n"/>
      <c r="H89" s="3" t="n"/>
      <c r="I89" s="3" t="n"/>
      <c r="J89" s="3" t="n"/>
      <c r="K89" s="3" t="n"/>
      <c r="L89" s="3" t="n"/>
      <c r="M89" s="3" t="n"/>
      <c r="N89" s="3" t="n"/>
      <c r="R89" s="3" t="n"/>
      <c r="S89" s="3" t="n"/>
      <c r="T89" s="3" t="n"/>
      <c r="U89" s="3" t="n"/>
      <c r="AA89">
        <f>E89 *1.88541666666666</f>
        <v/>
      </c>
      <c r="AB89" s="3">
        <f>1.88541666666666 * (E89 - AA89)^2</f>
        <v/>
      </c>
      <c r="AC89" s="3" t="n"/>
      <c r="AD89" s="3" t="n"/>
      <c r="AJ89" s="3" t="n"/>
      <c r="AK89" s="3" t="n"/>
      <c r="AL89" s="3" t="n"/>
      <c r="AM89" s="3" t="n"/>
      <c r="AN89" s="3" t="n"/>
      <c r="AT89" s="3" t="n"/>
      <c r="AU89" s="3" t="n"/>
      <c r="AV89" s="3" t="n"/>
      <c r="AW89" s="3" t="n"/>
      <c r="AX89" s="3" t="n"/>
      <c r="AY89" s="3" t="n"/>
    </row>
    <row r="90">
      <c r="A90" s="3" t="inlineStr">
        <is>
          <t>Ivysaur - 167/165</t>
        </is>
      </c>
      <c r="B90" s="3" t="inlineStr">
        <is>
          <t>illustration rare</t>
        </is>
      </c>
      <c r="C90" s="3" t="n">
        <v>188</v>
      </c>
      <c r="D90" s="3" t="n">
        <v>25.58</v>
      </c>
      <c r="E90" s="3" t="n"/>
      <c r="F90" s="3">
        <f>IF(B90="common", 4, IF(B90="uncommon", 3, IF(B90="rare", 0.73878, 1)))</f>
        <v/>
      </c>
      <c r="G90" s="3" t="n"/>
      <c r="H90" s="3" t="n"/>
      <c r="I90" s="3" t="n"/>
      <c r="J90" s="3" t="n"/>
      <c r="K90" s="3" t="n"/>
      <c r="L90" s="3" t="n"/>
      <c r="M90" s="3" t="n"/>
      <c r="N90" s="3" t="n"/>
      <c r="R90" s="3" t="n"/>
      <c r="S90" s="3" t="n"/>
      <c r="T90" s="3" t="n"/>
      <c r="U90" s="3" t="n"/>
      <c r="AA90">
        <f>E90 *1.88541666666666</f>
        <v/>
      </c>
      <c r="AB90" s="3">
        <f>1.88541666666666 * (E90 - AA90)^2</f>
        <v/>
      </c>
      <c r="AC90" s="3" t="n"/>
      <c r="AD90" s="3" t="n"/>
      <c r="AJ90" s="3" t="n"/>
      <c r="AK90" s="3" t="n"/>
      <c r="AL90" s="3" t="n"/>
      <c r="AM90" s="3" t="n"/>
      <c r="AN90" s="3" t="n"/>
      <c r="AT90" s="3" t="n"/>
      <c r="AU90" s="3" t="n"/>
      <c r="AV90" s="3" t="n"/>
      <c r="AW90" s="3" t="n"/>
      <c r="AX90" s="3" t="n"/>
      <c r="AY90" s="3" t="n"/>
    </row>
    <row r="91">
      <c r="A91" s="3" t="inlineStr">
        <is>
          <t>Jigglypuff</t>
        </is>
      </c>
      <c r="B91" s="3" t="inlineStr">
        <is>
          <t>common</t>
        </is>
      </c>
      <c r="C91" s="3" t="n">
        <v>66</v>
      </c>
      <c r="D91" s="3" t="n">
        <v>0.07000000000000001</v>
      </c>
      <c r="E91" s="3" t="n">
        <v>0.19</v>
      </c>
      <c r="F91" s="3">
        <f>IF(B91="common", 4, IF(B91="uncommon", 3, IF(B91="rare", 0.73878, 1)))</f>
        <v/>
      </c>
      <c r="G91" s="3" t="n"/>
      <c r="H91" s="3" t="n"/>
      <c r="I91" s="3" t="n"/>
      <c r="J91" s="3" t="n"/>
      <c r="K91" s="3" t="n"/>
      <c r="L91" s="3" t="n"/>
      <c r="M91" s="3" t="n"/>
      <c r="N91" s="3" t="n"/>
      <c r="R91" s="3" t="n"/>
      <c r="S91" s="3" t="n"/>
      <c r="T91" s="3" t="n"/>
      <c r="U91" s="3" t="n"/>
      <c r="AA91">
        <f>E91 *1.88541666666666</f>
        <v/>
      </c>
      <c r="AB91" s="3">
        <f>1.88541666666666 * (E91 - AA91)^2</f>
        <v/>
      </c>
      <c r="AC91" s="3" t="n"/>
      <c r="AD91" s="3" t="n"/>
      <c r="AJ91" s="3" t="n"/>
      <c r="AK91" s="3" t="n"/>
      <c r="AL91" s="3" t="n"/>
      <c r="AM91" s="3" t="n"/>
      <c r="AN91" s="3" t="n"/>
      <c r="AT91" s="3" t="n"/>
      <c r="AU91" s="3" t="n"/>
      <c r="AV91" s="3" t="n"/>
      <c r="AW91" s="3" t="n"/>
      <c r="AX91" s="3" t="n"/>
      <c r="AY91" s="3" t="n"/>
    </row>
    <row r="92">
      <c r="A92" s="3" t="inlineStr">
        <is>
          <t>Jolteon</t>
        </is>
      </c>
      <c r="B92" s="3" t="inlineStr">
        <is>
          <t>rare</t>
        </is>
      </c>
      <c r="C92" s="3" t="n">
        <v>26</v>
      </c>
      <c r="D92" s="3" t="n">
        <v>0.23</v>
      </c>
      <c r="E92" s="3" t="n">
        <v>1.26</v>
      </c>
      <c r="F92" s="3">
        <f>IF(B92="common", 4, IF(B92="uncommon", 3, IF(B92="rare", 0.73878, 1)))</f>
        <v/>
      </c>
      <c r="G92" s="3" t="n"/>
      <c r="H92" s="3" t="n"/>
      <c r="I92" s="3" t="n"/>
      <c r="J92" s="3" t="n"/>
      <c r="K92" s="3" t="n"/>
      <c r="L92" s="3" t="n"/>
      <c r="M92" s="3" t="n"/>
      <c r="N92" s="3" t="n"/>
      <c r="R92" s="3" t="n"/>
      <c r="S92" s="3" t="n"/>
      <c r="T92" s="3" t="n"/>
      <c r="U92" s="3" t="n"/>
      <c r="AA92">
        <f>E92 *1.88541666666666</f>
        <v/>
      </c>
      <c r="AB92" s="3">
        <f>1.88541666666666 * (E92 - AA92)^2</f>
        <v/>
      </c>
      <c r="AC92" s="3" t="n"/>
      <c r="AD92" s="3" t="n"/>
      <c r="AJ92" s="3" t="n"/>
      <c r="AK92" s="3" t="n"/>
      <c r="AL92" s="3" t="n"/>
      <c r="AM92" s="3" t="n"/>
      <c r="AN92" s="3" t="n"/>
      <c r="AT92" s="3" t="n"/>
      <c r="AU92" s="3" t="n"/>
      <c r="AV92" s="3" t="n"/>
      <c r="AW92" s="3" t="n"/>
      <c r="AX92" s="3" t="n"/>
      <c r="AY92" s="3" t="n"/>
    </row>
    <row r="93">
      <c r="A93" s="3" t="inlineStr">
        <is>
          <t>Jynx ex - 124/165</t>
        </is>
      </c>
      <c r="B93" s="3" t="inlineStr">
        <is>
          <t>double rare</t>
        </is>
      </c>
      <c r="C93" s="3" t="n">
        <v>90</v>
      </c>
      <c r="D93" s="3" t="n">
        <v>1.03</v>
      </c>
      <c r="E93" s="3" t="n"/>
      <c r="F93" s="3">
        <f>IF(B93="common", 4, IF(B93="uncommon", 3, IF(B93="rare", 0.73878, 1)))</f>
        <v/>
      </c>
      <c r="G93" s="3" t="n"/>
      <c r="H93" s="3" t="n"/>
      <c r="I93" s="3" t="n"/>
      <c r="J93" s="3" t="n"/>
      <c r="K93" s="3" t="n"/>
      <c r="L93" s="3" t="n"/>
      <c r="M93" s="3" t="n"/>
      <c r="N93" s="3" t="n"/>
      <c r="R93" s="3" t="n"/>
      <c r="S93" s="3" t="n"/>
      <c r="T93" s="3" t="n"/>
      <c r="U93" s="3" t="n"/>
      <c r="AA93">
        <f>E93 *1.88541666666666</f>
        <v/>
      </c>
      <c r="AB93" s="3">
        <f>1.88541666666666 * (E93 - AA93)^2</f>
        <v/>
      </c>
      <c r="AC93" s="3" t="n"/>
      <c r="AD93" s="3" t="n"/>
      <c r="AJ93" s="3" t="n"/>
      <c r="AK93" s="3" t="n"/>
      <c r="AL93" s="3" t="n"/>
      <c r="AM93" s="3" t="n"/>
      <c r="AN93" s="3" t="n"/>
      <c r="AT93" s="3" t="n"/>
      <c r="AU93" s="3" t="n"/>
      <c r="AV93" s="3" t="n"/>
      <c r="AW93" s="3" t="n"/>
      <c r="AX93" s="3" t="n"/>
      <c r="AY93" s="3" t="n"/>
    </row>
    <row r="94">
      <c r="A94" s="3" t="inlineStr">
        <is>
          <t>Jynx ex - 191/165</t>
        </is>
      </c>
      <c r="B94" s="3" t="inlineStr">
        <is>
          <t>ultra rare</t>
        </is>
      </c>
      <c r="C94" s="3" t="n">
        <v>248</v>
      </c>
      <c r="D94" s="3" t="n">
        <v>4.23</v>
      </c>
      <c r="E94" s="3" t="n"/>
      <c r="F94" s="3">
        <f>IF(B94="common", 4, IF(B94="uncommon", 3, IF(B94="rare", 0.73878, 1)))</f>
        <v/>
      </c>
      <c r="G94" s="3" t="n"/>
      <c r="H94" s="3" t="n"/>
      <c r="I94" s="3" t="n"/>
      <c r="J94" s="3" t="n"/>
      <c r="K94" s="3" t="n"/>
      <c r="L94" s="3" t="n"/>
      <c r="M94" s="3" t="n"/>
      <c r="N94" s="3" t="n"/>
      <c r="R94" s="3" t="n"/>
      <c r="S94" s="3" t="n"/>
      <c r="T94" s="3" t="n"/>
      <c r="U94" s="3" t="n"/>
      <c r="AA94">
        <f>E94 *1.88541666666666</f>
        <v/>
      </c>
      <c r="AB94" s="3">
        <f>1.88541666666666 * (E94 - AA94)^2</f>
        <v/>
      </c>
      <c r="AC94" s="3" t="n"/>
      <c r="AD94" s="3" t="n"/>
      <c r="AJ94" s="3" t="n"/>
      <c r="AK94" s="3" t="n"/>
      <c r="AL94" s="3" t="n"/>
      <c r="AM94" s="3" t="n"/>
      <c r="AN94" s="3" t="n"/>
      <c r="AT94" s="3" t="n"/>
      <c r="AU94" s="3" t="n"/>
      <c r="AV94" s="3" t="n"/>
      <c r="AW94" s="3" t="n"/>
      <c r="AX94" s="3" t="n"/>
      <c r="AY94" s="3" t="n"/>
    </row>
    <row r="95">
      <c r="A95" s="3" t="inlineStr">
        <is>
          <t>Kabuto</t>
        </is>
      </c>
      <c r="B95" s="3" t="inlineStr">
        <is>
          <t>uncommon</t>
        </is>
      </c>
      <c r="C95" s="3" t="n">
        <v>62</v>
      </c>
      <c r="D95" s="3" t="n">
        <v>0.11</v>
      </c>
      <c r="E95" s="3" t="n">
        <v>1.21</v>
      </c>
      <c r="F95" s="3">
        <f>IF(B95="common", 4, IF(B95="uncommon", 3, IF(B95="rare", 0.73878, 1)))</f>
        <v/>
      </c>
      <c r="G95" s="3" t="n"/>
      <c r="H95" s="3" t="n"/>
      <c r="I95" s="3" t="n"/>
      <c r="J95" s="3" t="n"/>
      <c r="K95" s="3" t="n"/>
      <c r="L95" s="3" t="n"/>
      <c r="M95" s="3" t="n"/>
      <c r="N95" s="3" t="n"/>
      <c r="R95" s="3" t="n"/>
      <c r="S95" s="3" t="n"/>
      <c r="T95" s="3" t="n"/>
      <c r="U95" s="3" t="n"/>
      <c r="AA95">
        <f>E95 *1.88541666666666</f>
        <v/>
      </c>
      <c r="AB95" s="3">
        <f>1.88541666666666 * (E95 - AA95)^2</f>
        <v/>
      </c>
      <c r="AC95" s="3" t="n"/>
      <c r="AD95" s="3" t="n"/>
      <c r="AJ95" s="3" t="n"/>
      <c r="AK95" s="3" t="n"/>
      <c r="AL95" s="3" t="n"/>
      <c r="AM95" s="3" t="n"/>
      <c r="AN95" s="3" t="n"/>
      <c r="AT95" s="3" t="n"/>
      <c r="AU95" s="3" t="n"/>
      <c r="AV95" s="3" t="n"/>
      <c r="AW95" s="3" t="n"/>
      <c r="AX95" s="3" t="n"/>
      <c r="AY95" s="3" t="n"/>
    </row>
    <row r="96">
      <c r="A96" s="3" t="inlineStr">
        <is>
          <t>Kabutops</t>
        </is>
      </c>
      <c r="B96" s="3" t="inlineStr">
        <is>
          <t>rare</t>
        </is>
      </c>
      <c r="C96" s="3" t="n">
        <v>26</v>
      </c>
      <c r="D96" s="3" t="n">
        <v>0.17</v>
      </c>
      <c r="E96" s="3" t="n">
        <v>0.68</v>
      </c>
      <c r="F96" s="3">
        <f>IF(B96="common", 4, IF(B96="uncommon", 3, IF(B96="rare", 0.73878, 1)))</f>
        <v/>
      </c>
      <c r="G96" s="3" t="n"/>
      <c r="H96" s="3" t="n"/>
      <c r="I96" s="3" t="n"/>
      <c r="J96" s="3" t="n"/>
      <c r="K96" s="3" t="n"/>
      <c r="L96" s="3" t="n"/>
      <c r="M96" s="3" t="n"/>
      <c r="N96" s="3" t="n"/>
      <c r="R96" s="3" t="n"/>
      <c r="S96" s="3" t="n"/>
      <c r="T96" s="3" t="n"/>
      <c r="U96" s="3" t="n"/>
      <c r="AA96">
        <f>E96 *1.88541666666666</f>
        <v/>
      </c>
      <c r="AB96" s="3">
        <f>1.88541666666666 * (E96 - AA96)^2</f>
        <v/>
      </c>
      <c r="AC96" s="3" t="n"/>
      <c r="AD96" s="3" t="n"/>
      <c r="AJ96" s="3" t="n"/>
      <c r="AK96" s="3" t="n"/>
      <c r="AL96" s="3" t="n"/>
      <c r="AM96" s="3" t="n"/>
      <c r="AN96" s="3" t="n"/>
      <c r="AT96" s="3" t="n"/>
      <c r="AU96" s="3" t="n"/>
      <c r="AV96" s="3" t="n"/>
      <c r="AW96" s="3" t="n"/>
      <c r="AX96" s="3" t="n"/>
      <c r="AY96" s="3" t="n"/>
    </row>
    <row r="97">
      <c r="A97" s="3" t="inlineStr">
        <is>
          <t>Kadabra</t>
        </is>
      </c>
      <c r="B97" s="3" t="inlineStr">
        <is>
          <t>uncommon</t>
        </is>
      </c>
      <c r="C97" s="3" t="n">
        <v>62</v>
      </c>
      <c r="D97" s="3" t="n">
        <v>0.1</v>
      </c>
      <c r="E97" s="3" t="n">
        <v>0.22</v>
      </c>
      <c r="F97" s="3">
        <f>IF(B97="common", 4, IF(B97="uncommon", 3, IF(B97="rare", 0.73878, 1)))</f>
        <v/>
      </c>
      <c r="G97" s="3" t="n"/>
      <c r="H97" s="3" t="n"/>
      <c r="I97" s="3" t="n"/>
      <c r="J97" s="3" t="n"/>
      <c r="K97" s="3" t="n"/>
      <c r="L97" s="3" t="n"/>
      <c r="M97" s="3" t="n"/>
      <c r="N97" s="3" t="n"/>
      <c r="R97" s="3" t="n"/>
      <c r="S97" s="3" t="n"/>
      <c r="T97" s="3" t="n"/>
      <c r="U97" s="3" t="n"/>
      <c r="AA97">
        <f>E97 *1.88541666666666</f>
        <v/>
      </c>
      <c r="AB97" s="3">
        <f>1.88541666666666 * (E97 - AA97)^2</f>
        <v/>
      </c>
      <c r="AC97" s="3" t="n"/>
      <c r="AD97" s="3" t="n"/>
      <c r="AJ97" s="3" t="n"/>
      <c r="AK97" s="3" t="n"/>
      <c r="AL97" s="3" t="n"/>
      <c r="AM97" s="3" t="n"/>
      <c r="AN97" s="3" t="n"/>
      <c r="AT97" s="3" t="n"/>
      <c r="AU97" s="3" t="n"/>
      <c r="AV97" s="3" t="n"/>
      <c r="AW97" s="3" t="n"/>
      <c r="AX97" s="3" t="n"/>
      <c r="AY97" s="3" t="n"/>
    </row>
    <row r="98">
      <c r="A98" s="3" t="inlineStr">
        <is>
          <t>Kakuna</t>
        </is>
      </c>
      <c r="B98" s="3" t="inlineStr">
        <is>
          <t>common</t>
        </is>
      </c>
      <c r="C98" s="3" t="n">
        <v>66</v>
      </c>
      <c r="D98" s="3" t="n">
        <v>0.09</v>
      </c>
      <c r="E98" s="3" t="n">
        <v>1.47</v>
      </c>
      <c r="F98" s="3">
        <f>IF(B98="common", 4, IF(B98="uncommon", 3, IF(B98="rare", 0.73878, 1)))</f>
        <v/>
      </c>
      <c r="G98" s="3" t="n"/>
      <c r="H98" s="3" t="n"/>
      <c r="I98" s="3" t="n"/>
      <c r="J98" s="3" t="n"/>
      <c r="K98" s="3" t="n"/>
      <c r="L98" s="3" t="n"/>
      <c r="M98" s="3" t="n"/>
      <c r="N98" s="3" t="n"/>
      <c r="R98" s="3" t="n"/>
      <c r="S98" s="3" t="n"/>
      <c r="T98" s="3" t="n"/>
      <c r="U98" s="3" t="n"/>
      <c r="AA98">
        <f>E98 *1.88541666666666</f>
        <v/>
      </c>
      <c r="AB98" s="3">
        <f>1.88541666666666 * (E98 - AA98)^2</f>
        <v/>
      </c>
      <c r="AC98" s="3" t="n"/>
      <c r="AD98" s="3" t="n"/>
      <c r="AJ98" s="3" t="n"/>
      <c r="AK98" s="3" t="n"/>
      <c r="AL98" s="3" t="n"/>
      <c r="AM98" s="3" t="n"/>
      <c r="AN98" s="3" t="n"/>
      <c r="AT98" s="3" t="n"/>
      <c r="AU98" s="3" t="n"/>
      <c r="AV98" s="3" t="n"/>
      <c r="AW98" s="3" t="n"/>
      <c r="AX98" s="3" t="n"/>
      <c r="AY98" s="3" t="n"/>
    </row>
    <row r="99">
      <c r="A99" s="3" t="inlineStr">
        <is>
          <t>Kangaskhan ex - 115/165</t>
        </is>
      </c>
      <c r="B99" s="3" t="inlineStr">
        <is>
          <t>double rare</t>
        </is>
      </c>
      <c r="C99" s="3" t="n">
        <v>90</v>
      </c>
      <c r="D99" s="3" t="n">
        <v>0.8</v>
      </c>
      <c r="E99" s="3" t="n"/>
      <c r="F99" s="3">
        <f>IF(B99="common", 4, IF(B99="uncommon", 3, IF(B99="rare", 0.73878, 1)))</f>
        <v/>
      </c>
      <c r="G99" s="3" t="n"/>
      <c r="H99" s="3" t="n"/>
      <c r="I99" s="3" t="n"/>
      <c r="J99" s="3" t="n"/>
      <c r="K99" s="3" t="n"/>
      <c r="L99" s="3" t="n"/>
      <c r="M99" s="3" t="n"/>
      <c r="N99" s="3" t="n"/>
      <c r="R99" s="3" t="n"/>
      <c r="S99" s="3" t="n"/>
      <c r="T99" s="3" t="n"/>
      <c r="U99" s="3" t="n"/>
      <c r="AA99">
        <f>E99 *1.88541666666666</f>
        <v/>
      </c>
      <c r="AB99" s="3">
        <f>1.88541666666666 * (E99 - AA99)^2</f>
        <v/>
      </c>
      <c r="AC99" s="3" t="n"/>
      <c r="AD99" s="3" t="n"/>
      <c r="AJ99" s="3" t="n"/>
      <c r="AK99" s="3" t="n"/>
      <c r="AL99" s="3" t="n"/>
      <c r="AM99" s="3" t="n"/>
      <c r="AN99" s="3" t="n"/>
      <c r="AT99" s="3" t="n"/>
      <c r="AU99" s="3" t="n"/>
      <c r="AV99" s="3" t="n"/>
      <c r="AW99" s="3" t="n"/>
      <c r="AX99" s="3" t="n"/>
      <c r="AY99" s="3" t="n"/>
    </row>
    <row r="100">
      <c r="A100" s="3" t="inlineStr">
        <is>
          <t>Kangaskhan ex - 190/165</t>
        </is>
      </c>
      <c r="B100" s="3" t="inlineStr">
        <is>
          <t>ultra rare</t>
        </is>
      </c>
      <c r="C100" s="3" t="n">
        <v>248</v>
      </c>
      <c r="D100" s="3" t="n">
        <v>4.87</v>
      </c>
      <c r="E100" s="3" t="n"/>
      <c r="F100" s="3">
        <f>IF(B100="common", 4, IF(B100="uncommon", 3, IF(B100="rare", 0.73878, 1)))</f>
        <v/>
      </c>
      <c r="G100" s="3" t="n"/>
      <c r="H100" s="3" t="n"/>
      <c r="I100" s="3" t="n"/>
      <c r="J100" s="3" t="n"/>
      <c r="K100" s="3" t="n"/>
      <c r="L100" s="3" t="n"/>
      <c r="M100" s="3" t="n"/>
      <c r="N100" s="3" t="n"/>
      <c r="R100" s="3" t="n"/>
      <c r="S100" s="3" t="n"/>
      <c r="T100" s="3" t="n"/>
      <c r="U100" s="3" t="n"/>
      <c r="AA100">
        <f>E100 *1.88541666666666</f>
        <v/>
      </c>
      <c r="AB100" s="3">
        <f>1.88541666666666 * (E100 - AA100)^2</f>
        <v/>
      </c>
      <c r="AC100" s="3" t="n"/>
      <c r="AD100" s="3" t="n"/>
      <c r="AJ100" s="3" t="n"/>
      <c r="AK100" s="3" t="n"/>
      <c r="AL100" s="3" t="n"/>
      <c r="AM100" s="3" t="n"/>
      <c r="AN100" s="3" t="n"/>
      <c r="AT100" s="3" t="n"/>
      <c r="AU100" s="3" t="n"/>
      <c r="AV100" s="3" t="n"/>
      <c r="AW100" s="3" t="n"/>
      <c r="AX100" s="3" t="n"/>
      <c r="AY100" s="3" t="n"/>
    </row>
    <row r="101">
      <c r="A101" s="3" t="inlineStr">
        <is>
          <t>Kingler</t>
        </is>
      </c>
      <c r="B101" s="3" t="inlineStr">
        <is>
          <t>uncommon</t>
        </is>
      </c>
      <c r="C101" s="3" t="n">
        <v>62</v>
      </c>
      <c r="D101" s="3" t="n">
        <v>0.13</v>
      </c>
      <c r="E101" s="3" t="n">
        <v>0.93</v>
      </c>
      <c r="F101" s="3">
        <f>IF(B101="common", 4, IF(B101="uncommon", 3, IF(B101="rare", 0.73878, 1)))</f>
        <v/>
      </c>
      <c r="G101" s="3" t="n"/>
      <c r="H101" s="3" t="n"/>
      <c r="I101" s="3" t="n"/>
      <c r="J101" s="3" t="n"/>
      <c r="K101" s="3" t="n"/>
      <c r="L101" s="3" t="n"/>
      <c r="M101" s="3" t="n"/>
      <c r="N101" s="3" t="n"/>
      <c r="R101" s="3" t="n"/>
      <c r="S101" s="3" t="n"/>
      <c r="T101" s="3" t="n"/>
      <c r="U101" s="3" t="n"/>
      <c r="AA101">
        <f>E101 *1.88541666666666</f>
        <v/>
      </c>
      <c r="AB101" s="3">
        <f>1.88541666666666 * (E101 - AA101)^2</f>
        <v/>
      </c>
      <c r="AC101" s="3" t="n"/>
      <c r="AD101" s="3" t="n"/>
      <c r="AJ101" s="3" t="n"/>
      <c r="AK101" s="3" t="n"/>
      <c r="AL101" s="3" t="n"/>
      <c r="AM101" s="3" t="n"/>
      <c r="AN101" s="3" t="n"/>
      <c r="AT101" s="3" t="n"/>
      <c r="AU101" s="3" t="n"/>
      <c r="AV101" s="3" t="n"/>
      <c r="AW101" s="3" t="n"/>
      <c r="AX101" s="3" t="n"/>
      <c r="AY101" s="3" t="n"/>
    </row>
    <row r="102">
      <c r="A102" s="3" t="inlineStr">
        <is>
          <t>Koffing</t>
        </is>
      </c>
      <c r="B102" s="3" t="inlineStr">
        <is>
          <t>common</t>
        </is>
      </c>
      <c r="C102" s="3" t="n">
        <v>66</v>
      </c>
      <c r="D102" s="3" t="n">
        <v>0.06</v>
      </c>
      <c r="E102" s="3" t="n">
        <v>0.17</v>
      </c>
      <c r="F102" s="3">
        <f>IF(B102="common", 4, IF(B102="uncommon", 3, IF(B102="rare", 0.73878, 1)))</f>
        <v/>
      </c>
      <c r="G102" s="3" t="n"/>
      <c r="H102" s="3" t="n"/>
      <c r="I102" s="3" t="n"/>
      <c r="J102" s="3" t="n"/>
      <c r="K102" s="3" t="n"/>
      <c r="L102" s="3" t="n"/>
      <c r="M102" s="3" t="n"/>
      <c r="N102" s="3" t="n"/>
      <c r="R102" s="3" t="n"/>
      <c r="S102" s="3" t="n"/>
      <c r="T102" s="3" t="n"/>
      <c r="U102" s="3" t="n"/>
      <c r="AA102">
        <f>E102 *1.88541666666666</f>
        <v/>
      </c>
      <c r="AB102" s="3">
        <f>1.88541666666666 * (E102 - AA102)^2</f>
        <v/>
      </c>
      <c r="AC102" s="3" t="n"/>
      <c r="AD102" s="3" t="n"/>
      <c r="AJ102" s="3" t="n"/>
      <c r="AK102" s="3" t="n"/>
      <c r="AL102" s="3" t="n"/>
      <c r="AM102" s="3" t="n"/>
      <c r="AN102" s="3" t="n"/>
      <c r="AT102" s="3" t="n"/>
      <c r="AU102" s="3" t="n"/>
      <c r="AV102" s="3" t="n"/>
      <c r="AW102" s="3" t="n"/>
      <c r="AX102" s="3" t="n"/>
      <c r="AY102" s="3" t="n"/>
    </row>
    <row r="103">
      <c r="A103" s="3" t="inlineStr">
        <is>
          <t>Krabby</t>
        </is>
      </c>
      <c r="B103" s="3" t="inlineStr">
        <is>
          <t>common</t>
        </is>
      </c>
      <c r="C103" s="3" t="n">
        <v>66</v>
      </c>
      <c r="D103" s="3" t="n">
        <v>0.08</v>
      </c>
      <c r="E103" s="3" t="n">
        <v>0.15</v>
      </c>
      <c r="F103" s="3">
        <f>IF(B103="common", 4, IF(B103="uncommon", 3, IF(B103="rare", 0.73878, 1)))</f>
        <v/>
      </c>
      <c r="G103" s="3" t="n"/>
      <c r="H103" s="3" t="n"/>
      <c r="I103" s="3" t="n"/>
      <c r="J103" s="3" t="n"/>
      <c r="K103" s="3" t="n"/>
      <c r="L103" s="3" t="n"/>
      <c r="M103" s="3" t="n"/>
      <c r="N103" s="3" t="n"/>
      <c r="R103" s="3" t="n"/>
      <c r="S103" s="3" t="n"/>
      <c r="T103" s="3" t="n"/>
      <c r="U103" s="3" t="n"/>
      <c r="AA103">
        <f>E103 *1.88541666666666</f>
        <v/>
      </c>
      <c r="AB103" s="3">
        <f>1.88541666666666 * (E103 - AA103)^2</f>
        <v/>
      </c>
      <c r="AC103" s="3" t="n"/>
      <c r="AD103" s="3" t="n"/>
      <c r="AJ103" s="3" t="n"/>
      <c r="AK103" s="3" t="n"/>
      <c r="AL103" s="3" t="n"/>
      <c r="AM103" s="3" t="n"/>
      <c r="AN103" s="3" t="n"/>
      <c r="AT103" s="3" t="n"/>
      <c r="AU103" s="3" t="n"/>
      <c r="AV103" s="3" t="n"/>
      <c r="AW103" s="3" t="n"/>
      <c r="AX103" s="3" t="n"/>
      <c r="AY103" s="3" t="n"/>
    </row>
    <row r="104">
      <c r="A104" s="3" t="inlineStr">
        <is>
          <t>Lapras</t>
        </is>
      </c>
      <c r="B104" s="3" t="inlineStr">
        <is>
          <t>uncommon</t>
        </is>
      </c>
      <c r="C104" s="3" t="n">
        <v>62</v>
      </c>
      <c r="D104" s="3" t="n">
        <v>0.12</v>
      </c>
      <c r="E104" s="3" t="n">
        <v>0.87</v>
      </c>
      <c r="F104" s="3">
        <f>IF(B104="common", 4, IF(B104="uncommon", 3, IF(B104="rare", 0.73878, 1)))</f>
        <v/>
      </c>
      <c r="G104" s="3" t="n"/>
      <c r="H104" s="3" t="n"/>
      <c r="I104" s="3" t="n"/>
      <c r="J104" s="3" t="n"/>
      <c r="K104" s="3" t="n"/>
      <c r="L104" s="3" t="n"/>
      <c r="M104" s="3" t="n"/>
      <c r="N104" s="3" t="n"/>
      <c r="R104" s="3" t="n"/>
      <c r="S104" s="3" t="n"/>
      <c r="T104" s="3" t="n"/>
      <c r="U104" s="3" t="n"/>
      <c r="AA104">
        <f>E104 *1.88541666666666</f>
        <v/>
      </c>
      <c r="AB104" s="3">
        <f>1.88541666666666 * (E104 - AA104)^2</f>
        <v/>
      </c>
      <c r="AC104" s="3" t="n"/>
      <c r="AD104" s="3" t="n"/>
      <c r="AJ104" s="3" t="n"/>
      <c r="AK104" s="3" t="n"/>
      <c r="AL104" s="3" t="n"/>
      <c r="AM104" s="3" t="n"/>
      <c r="AN104" s="3" t="n"/>
      <c r="AT104" s="3" t="n"/>
      <c r="AU104" s="3" t="n"/>
      <c r="AV104" s="3" t="n"/>
      <c r="AW104" s="3" t="n"/>
      <c r="AX104" s="3" t="n"/>
      <c r="AY104" s="3" t="n"/>
    </row>
    <row r="105">
      <c r="A105" s="3" t="inlineStr">
        <is>
          <t>Leftovers</t>
        </is>
      </c>
      <c r="B105" s="3" t="inlineStr">
        <is>
          <t>uncommon</t>
        </is>
      </c>
      <c r="C105" s="3" t="n">
        <v>62</v>
      </c>
      <c r="D105" s="3" t="n">
        <v>0.09</v>
      </c>
      <c r="E105" s="3" t="n">
        <v>0.7</v>
      </c>
      <c r="F105" s="3">
        <f>IF(B105="common", 4, IF(B105="uncommon", 3, IF(B105="rare", 0.73878, 1)))</f>
        <v/>
      </c>
      <c r="G105" s="3" t="n"/>
      <c r="H105" s="3" t="n"/>
      <c r="I105" s="3" t="n"/>
      <c r="J105" s="3" t="n"/>
      <c r="K105" s="3" t="n"/>
      <c r="L105" s="3" t="n"/>
      <c r="M105" s="3" t="n"/>
      <c r="N105" s="3" t="n"/>
      <c r="R105" s="3" t="n"/>
      <c r="S105" s="3" t="n"/>
      <c r="T105" s="3" t="n"/>
      <c r="U105" s="3" t="n"/>
      <c r="AA105">
        <f>E105 *1.88541666666666</f>
        <v/>
      </c>
      <c r="AB105" s="3">
        <f>1.88541666666666 * (E105 - AA105)^2</f>
        <v/>
      </c>
      <c r="AC105" s="3" t="n"/>
      <c r="AD105" s="3" t="n"/>
      <c r="AJ105" s="3" t="n"/>
      <c r="AK105" s="3" t="n"/>
      <c r="AL105" s="3" t="n"/>
      <c r="AM105" s="3" t="n"/>
      <c r="AN105" s="3" t="n"/>
      <c r="AT105" s="3" t="n"/>
      <c r="AU105" s="3" t="n"/>
      <c r="AV105" s="3" t="n"/>
      <c r="AW105" s="3" t="n"/>
      <c r="AX105" s="3" t="n"/>
      <c r="AY105" s="3" t="n"/>
    </row>
    <row r="106">
      <c r="A106" s="3" t="inlineStr">
        <is>
          <t>Lickitung</t>
        </is>
      </c>
      <c r="B106" s="3" t="inlineStr">
        <is>
          <t>common</t>
        </is>
      </c>
      <c r="C106" s="3" t="n">
        <v>66</v>
      </c>
      <c r="D106" s="3" t="n">
        <v>0.07000000000000001</v>
      </c>
      <c r="E106" s="3" t="n">
        <v>0.2</v>
      </c>
      <c r="F106" s="3">
        <f>IF(B106="common", 4, IF(B106="uncommon", 3, IF(B106="rare", 0.73878, 1)))</f>
        <v/>
      </c>
      <c r="G106" s="3" t="n"/>
      <c r="H106" s="3" t="n"/>
      <c r="I106" s="3" t="n"/>
      <c r="J106" s="3" t="n"/>
      <c r="K106" s="3" t="n"/>
      <c r="L106" s="3" t="n"/>
      <c r="M106" s="3" t="n"/>
      <c r="N106" s="3" t="n"/>
      <c r="R106" s="3" t="n"/>
      <c r="S106" s="3" t="n"/>
      <c r="T106" s="3" t="n"/>
      <c r="U106" s="3" t="n"/>
      <c r="AA106">
        <f>E106 *1.88541666666666</f>
        <v/>
      </c>
      <c r="AB106" s="3">
        <f>1.88541666666666 * (E106 - AA106)^2</f>
        <v/>
      </c>
      <c r="AC106" s="3" t="n"/>
      <c r="AD106" s="3" t="n"/>
      <c r="AJ106" s="3" t="n"/>
      <c r="AK106" s="3" t="n"/>
      <c r="AL106" s="3" t="n"/>
      <c r="AM106" s="3" t="n"/>
      <c r="AN106" s="3" t="n"/>
      <c r="AT106" s="3" t="n"/>
      <c r="AU106" s="3" t="n"/>
      <c r="AV106" s="3" t="n"/>
      <c r="AW106" s="3" t="n"/>
      <c r="AX106" s="3" t="n"/>
      <c r="AY106" s="3" t="n"/>
    </row>
    <row r="107">
      <c r="A107" s="3" t="inlineStr">
        <is>
          <t>Machamp</t>
        </is>
      </c>
      <c r="B107" s="3" t="inlineStr">
        <is>
          <t>rare</t>
        </is>
      </c>
      <c r="C107" s="3" t="n">
        <v>26</v>
      </c>
      <c r="D107" s="3" t="n">
        <v>0.16</v>
      </c>
      <c r="E107" s="3" t="n">
        <v>0.72</v>
      </c>
      <c r="F107" s="3">
        <f>IF(B107="common", 4, IF(B107="uncommon", 3, IF(B107="rare", 0.73878, 1)))</f>
        <v/>
      </c>
      <c r="G107" s="3" t="n"/>
      <c r="H107" s="3" t="n"/>
      <c r="I107" s="3" t="n"/>
      <c r="J107" s="3" t="n"/>
      <c r="K107" s="3" t="n"/>
      <c r="L107" s="3" t="n"/>
      <c r="M107" s="3" t="n"/>
      <c r="N107" s="3" t="n"/>
      <c r="R107" s="3" t="n"/>
      <c r="S107" s="3" t="n"/>
      <c r="T107" s="3" t="n"/>
      <c r="U107" s="3" t="n"/>
      <c r="AA107">
        <f>E107 *1.88541666666666</f>
        <v/>
      </c>
      <c r="AB107" s="3">
        <f>1.88541666666666 * (E107 - AA107)^2</f>
        <v/>
      </c>
      <c r="AC107" s="3" t="n"/>
      <c r="AD107" s="3" t="n"/>
      <c r="AJ107" s="3" t="n"/>
      <c r="AK107" s="3" t="n"/>
      <c r="AL107" s="3" t="n"/>
      <c r="AM107" s="3" t="n"/>
      <c r="AN107" s="3" t="n"/>
      <c r="AT107" s="3" t="n"/>
      <c r="AU107" s="3" t="n"/>
      <c r="AV107" s="3" t="n"/>
      <c r="AW107" s="3" t="n"/>
      <c r="AX107" s="3" t="n"/>
      <c r="AY107" s="3" t="n"/>
    </row>
    <row r="108">
      <c r="A108" s="3" t="inlineStr">
        <is>
          <t>Machoke - 067/165</t>
        </is>
      </c>
      <c r="B108" s="3" t="inlineStr">
        <is>
          <t>uncommon</t>
        </is>
      </c>
      <c r="C108" s="3" t="n">
        <v>62</v>
      </c>
      <c r="D108" s="3" t="n">
        <v>0.08</v>
      </c>
      <c r="E108" s="3" t="n">
        <v>0.17</v>
      </c>
      <c r="F108" s="3">
        <f>IF(B108="common", 4, IF(B108="uncommon", 3, IF(B108="rare", 0.73878, 1)))</f>
        <v/>
      </c>
      <c r="G108" s="3" t="n"/>
      <c r="H108" s="3" t="n"/>
      <c r="I108" s="3" t="n"/>
      <c r="J108" s="3" t="n"/>
      <c r="K108" s="3" t="n"/>
      <c r="L108" s="3" t="n"/>
      <c r="M108" s="3" t="n"/>
      <c r="N108" s="3" t="n"/>
      <c r="R108" s="3" t="n"/>
      <c r="S108" s="3" t="n"/>
      <c r="T108" s="3" t="n"/>
      <c r="U108" s="3" t="n"/>
      <c r="AA108">
        <f>E108 *1.88541666666666</f>
        <v/>
      </c>
      <c r="AB108" s="3">
        <f>1.88541666666666 * (E108 - AA108)^2</f>
        <v/>
      </c>
      <c r="AC108" s="3" t="n"/>
      <c r="AD108" s="3" t="n"/>
      <c r="AJ108" s="3" t="n"/>
      <c r="AK108" s="3" t="n"/>
      <c r="AL108" s="3" t="n"/>
      <c r="AM108" s="3" t="n"/>
      <c r="AN108" s="3" t="n"/>
      <c r="AT108" s="3" t="n"/>
      <c r="AU108" s="3" t="n"/>
      <c r="AV108" s="3" t="n"/>
      <c r="AW108" s="3" t="n"/>
      <c r="AX108" s="3" t="n"/>
      <c r="AY108" s="3" t="n"/>
    </row>
    <row r="109">
      <c r="A109" s="3" t="inlineStr">
        <is>
          <t>Machoke - 177/165</t>
        </is>
      </c>
      <c r="B109" s="3" t="inlineStr">
        <is>
          <t>illustration rare</t>
        </is>
      </c>
      <c r="C109" s="3" t="n">
        <v>188</v>
      </c>
      <c r="D109" s="3" t="n">
        <v>9.73</v>
      </c>
      <c r="E109" s="3" t="n"/>
      <c r="F109" s="3">
        <f>IF(B109="common", 4, IF(B109="uncommon", 3, IF(B109="rare", 0.73878, 1)))</f>
        <v/>
      </c>
      <c r="G109" s="3" t="n"/>
      <c r="H109" s="3" t="n"/>
      <c r="I109" s="3" t="n"/>
      <c r="J109" s="3" t="n"/>
      <c r="K109" s="3" t="n"/>
      <c r="L109" s="3" t="n"/>
      <c r="M109" s="3" t="n"/>
      <c r="N109" s="3" t="n"/>
      <c r="R109" s="3" t="n"/>
      <c r="S109" s="3" t="n"/>
      <c r="T109" s="3" t="n"/>
      <c r="U109" s="3" t="n"/>
      <c r="AA109">
        <f>E109 *1.88541666666666</f>
        <v/>
      </c>
      <c r="AB109" s="3">
        <f>1.88541666666666 * (E109 - AA109)^2</f>
        <v/>
      </c>
      <c r="AC109" s="3" t="n"/>
      <c r="AD109" s="3" t="n"/>
      <c r="AJ109" s="3" t="n"/>
      <c r="AK109" s="3" t="n"/>
      <c r="AL109" s="3" t="n"/>
      <c r="AM109" s="3" t="n"/>
      <c r="AN109" s="3" t="n"/>
      <c r="AT109" s="3" t="n"/>
      <c r="AU109" s="3" t="n"/>
      <c r="AV109" s="3" t="n"/>
      <c r="AW109" s="3" t="n"/>
      <c r="AX109" s="3" t="n"/>
      <c r="AY109" s="3" t="n"/>
    </row>
    <row r="110">
      <c r="A110" s="3" t="inlineStr">
        <is>
          <t>Machop</t>
        </is>
      </c>
      <c r="B110" s="3" t="inlineStr">
        <is>
          <t>common</t>
        </is>
      </c>
      <c r="C110" s="3" t="n">
        <v>66</v>
      </c>
      <c r="D110" s="3" t="n">
        <v>0.07000000000000001</v>
      </c>
      <c r="E110" s="3" t="n">
        <v>0.18</v>
      </c>
      <c r="F110" s="3">
        <f>IF(B110="common", 4, IF(B110="uncommon", 3, IF(B110="rare", 0.73878, 1)))</f>
        <v/>
      </c>
      <c r="G110" s="3" t="n"/>
      <c r="H110" s="3" t="n"/>
      <c r="I110" s="3" t="n"/>
      <c r="J110" s="3" t="n"/>
      <c r="K110" s="3" t="n"/>
      <c r="L110" s="3" t="n"/>
      <c r="M110" s="3" t="n"/>
      <c r="N110" s="3" t="n"/>
      <c r="R110" s="3" t="n"/>
      <c r="S110" s="3" t="n"/>
      <c r="T110" s="3" t="n"/>
      <c r="U110" s="3" t="n"/>
      <c r="AA110">
        <f>E110 *1.88541666666666</f>
        <v/>
      </c>
      <c r="AB110" s="3">
        <f>1.88541666666666 * (E110 - AA110)^2</f>
        <v/>
      </c>
      <c r="AC110" s="3" t="n"/>
      <c r="AD110" s="3" t="n"/>
      <c r="AJ110" s="3" t="n"/>
      <c r="AK110" s="3" t="n"/>
      <c r="AL110" s="3" t="n"/>
      <c r="AM110" s="3" t="n"/>
      <c r="AN110" s="3" t="n"/>
      <c r="AT110" s="3" t="n"/>
      <c r="AU110" s="3" t="n"/>
      <c r="AV110" s="3" t="n"/>
      <c r="AW110" s="3" t="n"/>
      <c r="AX110" s="3" t="n"/>
      <c r="AY110" s="3" t="n"/>
    </row>
    <row r="111">
      <c r="A111" s="3" t="inlineStr">
        <is>
          <t>Magikarp</t>
        </is>
      </c>
      <c r="B111" s="3" t="inlineStr">
        <is>
          <t>common</t>
        </is>
      </c>
      <c r="C111" s="3" t="n">
        <v>66</v>
      </c>
      <c r="D111" s="3" t="n">
        <v>0.09</v>
      </c>
      <c r="E111" s="3" t="n">
        <v>0.17</v>
      </c>
      <c r="F111" s="3">
        <f>IF(B111="common", 4, IF(B111="uncommon", 3, IF(B111="rare", 0.73878, 1)))</f>
        <v/>
      </c>
      <c r="G111" s="3" t="n"/>
      <c r="H111" s="3" t="n"/>
      <c r="I111" s="3" t="n"/>
      <c r="J111" s="3" t="n"/>
      <c r="K111" s="3" t="n"/>
      <c r="L111" s="3" t="n"/>
      <c r="M111" s="3" t="n"/>
      <c r="N111" s="3" t="n"/>
      <c r="R111" s="3" t="n"/>
      <c r="S111" s="3" t="n"/>
      <c r="T111" s="3" t="n"/>
      <c r="U111" s="3" t="n"/>
      <c r="AA111">
        <f>E111 *1.88541666666666</f>
        <v/>
      </c>
      <c r="AB111" s="3">
        <f>1.88541666666666 * (E111 - AA111)^2</f>
        <v/>
      </c>
      <c r="AC111" s="3" t="n"/>
      <c r="AD111" s="3" t="n"/>
      <c r="AJ111" s="3" t="n"/>
      <c r="AK111" s="3" t="n"/>
      <c r="AL111" s="3" t="n"/>
      <c r="AM111" s="3" t="n"/>
      <c r="AN111" s="3" t="n"/>
      <c r="AT111" s="3" t="n"/>
      <c r="AU111" s="3" t="n"/>
      <c r="AV111" s="3" t="n"/>
      <c r="AW111" s="3" t="n"/>
      <c r="AX111" s="3" t="n"/>
      <c r="AY111" s="3" t="n"/>
    </row>
    <row r="112">
      <c r="A112" s="3" t="inlineStr">
        <is>
          <t>Magmar</t>
        </is>
      </c>
      <c r="B112" s="3" t="inlineStr">
        <is>
          <t>common</t>
        </is>
      </c>
      <c r="C112" s="3" t="n">
        <v>66</v>
      </c>
      <c r="D112" s="3" t="n">
        <v>0.09</v>
      </c>
      <c r="E112" s="3" t="n">
        <v>0.97</v>
      </c>
      <c r="F112" s="3">
        <f>IF(B112="common", 4, IF(B112="uncommon", 3, IF(B112="rare", 0.73878, 1)))</f>
        <v/>
      </c>
      <c r="G112" s="3" t="n"/>
      <c r="H112" s="3" t="n"/>
      <c r="I112" s="3" t="n"/>
      <c r="J112" s="3" t="n"/>
      <c r="K112" s="3" t="n"/>
      <c r="L112" s="3" t="n"/>
      <c r="M112" s="3" t="n"/>
      <c r="N112" s="3" t="n"/>
      <c r="R112" s="3" t="n"/>
      <c r="S112" s="3" t="n"/>
      <c r="T112" s="3" t="n"/>
      <c r="U112" s="3" t="n"/>
      <c r="AA112">
        <f>E112 *1.88541666666666</f>
        <v/>
      </c>
      <c r="AB112" s="3">
        <f>1.88541666666666 * (E112 - AA112)^2</f>
        <v/>
      </c>
      <c r="AC112" s="3" t="n"/>
      <c r="AD112" s="3" t="n"/>
      <c r="AJ112" s="3" t="n"/>
      <c r="AK112" s="3" t="n"/>
      <c r="AL112" s="3" t="n"/>
      <c r="AM112" s="3" t="n"/>
      <c r="AN112" s="3" t="n"/>
      <c r="AT112" s="3" t="n"/>
      <c r="AU112" s="3" t="n"/>
      <c r="AV112" s="3" t="n"/>
      <c r="AW112" s="3" t="n"/>
      <c r="AX112" s="3" t="n"/>
      <c r="AY112" s="3" t="n"/>
    </row>
    <row r="113">
      <c r="A113" s="3" t="inlineStr">
        <is>
          <t>Magnemite</t>
        </is>
      </c>
      <c r="B113" s="3" t="inlineStr">
        <is>
          <t>common</t>
        </is>
      </c>
      <c r="C113" s="3" t="n">
        <v>66</v>
      </c>
      <c r="D113" s="3" t="n">
        <v>0.08</v>
      </c>
      <c r="E113" s="3" t="n">
        <v>0.16</v>
      </c>
      <c r="F113" s="3">
        <f>IF(B113="common", 4, IF(B113="uncommon", 3, IF(B113="rare", 0.73878, 1)))</f>
        <v/>
      </c>
      <c r="G113" s="3" t="n"/>
      <c r="H113" s="3" t="n"/>
      <c r="I113" s="3" t="n"/>
      <c r="J113" s="3" t="n"/>
      <c r="K113" s="3" t="n"/>
      <c r="L113" s="3" t="n"/>
      <c r="M113" s="3" t="n"/>
      <c r="N113" s="3" t="n"/>
      <c r="R113" s="3" t="n"/>
      <c r="S113" s="3" t="n"/>
      <c r="T113" s="3" t="n"/>
      <c r="U113" s="3" t="n"/>
      <c r="AA113">
        <f>E113 *1.88541666666666</f>
        <v/>
      </c>
      <c r="AB113" s="3">
        <f>1.88541666666666 * (E113 - AA113)^2</f>
        <v/>
      </c>
      <c r="AC113" s="3" t="n"/>
      <c r="AD113" s="3" t="n"/>
      <c r="AJ113" s="3" t="n"/>
      <c r="AK113" s="3" t="n"/>
      <c r="AL113" s="3" t="n"/>
      <c r="AM113" s="3" t="n"/>
      <c r="AN113" s="3" t="n"/>
      <c r="AT113" s="3" t="n"/>
      <c r="AU113" s="3" t="n"/>
      <c r="AV113" s="3" t="n"/>
      <c r="AW113" s="3" t="n"/>
      <c r="AX113" s="3" t="n"/>
      <c r="AY113" s="3" t="n"/>
    </row>
    <row r="114">
      <c r="A114" s="3" t="inlineStr">
        <is>
          <t>Magneton</t>
        </is>
      </c>
      <c r="B114" s="3" t="inlineStr">
        <is>
          <t>uncommon</t>
        </is>
      </c>
      <c r="C114" s="3" t="n">
        <v>62</v>
      </c>
      <c r="D114" s="3" t="n">
        <v>0.07000000000000001</v>
      </c>
      <c r="E114" s="3" t="n">
        <v>0.14</v>
      </c>
      <c r="F114" s="3">
        <f>IF(B114="common", 4, IF(B114="uncommon", 3, IF(B114="rare", 0.73878, 1)))</f>
        <v/>
      </c>
      <c r="G114" s="3" t="n"/>
      <c r="H114" s="3" t="n"/>
      <c r="I114" s="3" t="n"/>
      <c r="J114" s="3" t="n"/>
      <c r="K114" s="3" t="n"/>
      <c r="L114" s="3" t="n"/>
      <c r="M114" s="3" t="n"/>
      <c r="N114" s="3" t="n"/>
      <c r="R114" s="3" t="n"/>
      <c r="S114" s="3" t="n"/>
      <c r="T114" s="3" t="n"/>
      <c r="U114" s="3" t="n"/>
      <c r="AA114">
        <f>E114 *1.88541666666666</f>
        <v/>
      </c>
      <c r="AB114" s="3">
        <f>1.88541666666666 * (E114 - AA114)^2</f>
        <v/>
      </c>
      <c r="AC114" s="3" t="n"/>
      <c r="AD114" s="3" t="n"/>
      <c r="AJ114" s="3" t="n"/>
      <c r="AK114" s="3" t="n"/>
      <c r="AL114" s="3" t="n"/>
      <c r="AM114" s="3" t="n"/>
      <c r="AN114" s="3" t="n"/>
      <c r="AT114" s="3" t="n"/>
      <c r="AU114" s="3" t="n"/>
      <c r="AV114" s="3" t="n"/>
      <c r="AW114" s="3" t="n"/>
      <c r="AX114" s="3" t="n"/>
      <c r="AY114" s="3" t="n"/>
    </row>
    <row r="115">
      <c r="A115" s="3" t="inlineStr">
        <is>
          <t>Mankey</t>
        </is>
      </c>
      <c r="B115" s="3" t="inlineStr">
        <is>
          <t>common</t>
        </is>
      </c>
      <c r="C115" s="3" t="n">
        <v>66</v>
      </c>
      <c r="D115" s="3" t="n">
        <v>0.09</v>
      </c>
      <c r="E115" s="3" t="n">
        <v>0.21</v>
      </c>
      <c r="F115" s="3">
        <f>IF(B115="common", 4, IF(B115="uncommon", 3, IF(B115="rare", 0.73878, 1)))</f>
        <v/>
      </c>
      <c r="G115" s="3" t="n"/>
      <c r="H115" s="3" t="n"/>
      <c r="I115" s="3" t="n"/>
      <c r="J115" s="3" t="n"/>
      <c r="K115" s="3" t="n"/>
      <c r="L115" s="3" t="n"/>
      <c r="M115" s="3" t="n"/>
      <c r="N115" s="3" t="n"/>
      <c r="R115" s="3" t="n"/>
      <c r="S115" s="3" t="n"/>
      <c r="T115" s="3" t="n"/>
      <c r="U115" s="3" t="n"/>
      <c r="AA115">
        <f>E115 *1.88541666666666</f>
        <v/>
      </c>
      <c r="AB115" s="3">
        <f>1.88541666666666 * (E115 - AA115)^2</f>
        <v/>
      </c>
      <c r="AC115" s="3" t="n"/>
      <c r="AD115" s="3" t="n"/>
      <c r="AJ115" s="3" t="n"/>
      <c r="AK115" s="3" t="n"/>
      <c r="AL115" s="3" t="n"/>
      <c r="AM115" s="3" t="n"/>
      <c r="AN115" s="3" t="n"/>
      <c r="AT115" s="3" t="n"/>
      <c r="AU115" s="3" t="n"/>
      <c r="AV115" s="3" t="n"/>
      <c r="AW115" s="3" t="n"/>
      <c r="AX115" s="3" t="n"/>
      <c r="AY115" s="3" t="n"/>
    </row>
    <row r="116">
      <c r="A116" s="3" t="inlineStr">
        <is>
          <t>Marowak</t>
        </is>
      </c>
      <c r="B116" s="3" t="inlineStr">
        <is>
          <t>rare</t>
        </is>
      </c>
      <c r="C116" s="3" t="n">
        <v>26</v>
      </c>
      <c r="D116" s="3" t="n">
        <v>0.11</v>
      </c>
      <c r="E116" s="3" t="n">
        <v>0.76</v>
      </c>
      <c r="F116" s="3">
        <f>IF(B116="common", 4, IF(B116="uncommon", 3, IF(B116="rare", 0.73878, 1)))</f>
        <v/>
      </c>
      <c r="G116" s="3" t="n"/>
      <c r="H116" s="3" t="n"/>
      <c r="I116" s="3" t="n"/>
      <c r="J116" s="3" t="n"/>
      <c r="K116" s="3" t="n"/>
      <c r="L116" s="3" t="n"/>
      <c r="M116" s="3" t="n"/>
      <c r="N116" s="3" t="n"/>
      <c r="R116" s="3" t="n"/>
      <c r="S116" s="3" t="n"/>
      <c r="T116" s="3" t="n"/>
      <c r="U116" s="3" t="n"/>
      <c r="AA116">
        <f>E116 *1.88541666666666</f>
        <v/>
      </c>
      <c r="AB116" s="3">
        <f>1.88541666666666 * (E116 - AA116)^2</f>
        <v/>
      </c>
      <c r="AC116" s="3" t="n"/>
      <c r="AD116" s="3" t="n"/>
      <c r="AJ116" s="3" t="n"/>
      <c r="AK116" s="3" t="n"/>
      <c r="AL116" s="3" t="n"/>
      <c r="AM116" s="3" t="n"/>
      <c r="AN116" s="3" t="n"/>
      <c r="AT116" s="3" t="n"/>
      <c r="AU116" s="3" t="n"/>
      <c r="AV116" s="3" t="n"/>
      <c r="AW116" s="3" t="n"/>
      <c r="AX116" s="3" t="n"/>
      <c r="AY116" s="3" t="n"/>
    </row>
    <row r="117">
      <c r="A117" s="3" t="inlineStr">
        <is>
          <t>Meowth</t>
        </is>
      </c>
      <c r="B117" s="3" t="inlineStr">
        <is>
          <t>common</t>
        </is>
      </c>
      <c r="C117" s="3" t="n">
        <v>66</v>
      </c>
      <c r="D117" s="3" t="n">
        <v>0.09</v>
      </c>
      <c r="E117" s="3" t="n">
        <v>0.16</v>
      </c>
      <c r="F117" s="3">
        <f>IF(B117="common", 4, IF(B117="uncommon", 3, IF(B117="rare", 0.73878, 1)))</f>
        <v/>
      </c>
      <c r="G117" s="3" t="n"/>
      <c r="H117" s="3" t="n"/>
      <c r="I117" s="3" t="n"/>
      <c r="J117" s="3" t="n"/>
      <c r="K117" s="3" t="n"/>
      <c r="L117" s="3" t="n"/>
      <c r="M117" s="3" t="n"/>
      <c r="N117" s="3" t="n"/>
      <c r="R117" s="3" t="n"/>
      <c r="S117" s="3" t="n"/>
      <c r="T117" s="3" t="n"/>
      <c r="U117" s="3" t="n"/>
      <c r="AA117">
        <f>E117 *1.88541666666666</f>
        <v/>
      </c>
      <c r="AB117" s="3">
        <f>1.88541666666666 * (E117 - AA117)^2</f>
        <v/>
      </c>
      <c r="AC117" s="3" t="n"/>
      <c r="AD117" s="3" t="n"/>
      <c r="AJ117" s="3" t="n"/>
      <c r="AK117" s="3" t="n"/>
      <c r="AL117" s="3" t="n"/>
      <c r="AM117" s="3" t="n"/>
      <c r="AN117" s="3" t="n"/>
      <c r="AT117" s="3" t="n"/>
      <c r="AU117" s="3" t="n"/>
      <c r="AV117" s="3" t="n"/>
      <c r="AW117" s="3" t="n"/>
      <c r="AX117" s="3" t="n"/>
      <c r="AY117" s="3" t="n"/>
    </row>
    <row r="118">
      <c r="A118" s="3" t="inlineStr">
        <is>
          <t>Metapod</t>
        </is>
      </c>
      <c r="B118" s="3" t="inlineStr">
        <is>
          <t>common</t>
        </is>
      </c>
      <c r="C118" s="3" t="n">
        <v>66</v>
      </c>
      <c r="D118" s="3" t="n">
        <v>0.12</v>
      </c>
      <c r="E118" s="3" t="n">
        <v>2.03</v>
      </c>
      <c r="F118" s="3">
        <f>IF(B118="common", 4, IF(B118="uncommon", 3, IF(B118="rare", 0.73878, 1)))</f>
        <v/>
      </c>
      <c r="G118" s="3" t="n"/>
      <c r="H118" s="3" t="n"/>
      <c r="I118" s="3" t="n"/>
      <c r="J118" s="3" t="n"/>
      <c r="K118" s="3" t="n"/>
      <c r="L118" s="3" t="n"/>
      <c r="M118" s="3" t="n"/>
      <c r="N118" s="3" t="n"/>
      <c r="R118" s="3" t="n"/>
      <c r="S118" s="3" t="n"/>
      <c r="T118" s="3" t="n"/>
      <c r="U118" s="3" t="n"/>
      <c r="AA118">
        <f>E118 *1.88541666666666</f>
        <v/>
      </c>
      <c r="AB118" s="3">
        <f>1.88541666666666 * (E118 - AA118)^2</f>
        <v/>
      </c>
      <c r="AC118" s="3" t="n"/>
      <c r="AD118" s="3" t="n"/>
      <c r="AJ118" s="3" t="n"/>
      <c r="AK118" s="3" t="n"/>
      <c r="AL118" s="3" t="n"/>
      <c r="AM118" s="3" t="n"/>
      <c r="AN118" s="3" t="n"/>
      <c r="AT118" s="3" t="n"/>
      <c r="AU118" s="3" t="n"/>
      <c r="AV118" s="3" t="n"/>
      <c r="AW118" s="3" t="n"/>
      <c r="AX118" s="3" t="n"/>
      <c r="AY118" s="3" t="n"/>
    </row>
    <row r="119">
      <c r="A119" s="3" t="inlineStr">
        <is>
          <t>Mew ex - 151/165</t>
        </is>
      </c>
      <c r="B119" s="3" t="inlineStr">
        <is>
          <t>double rare</t>
        </is>
      </c>
      <c r="C119" s="3" t="n">
        <v>90</v>
      </c>
      <c r="D119" s="3" t="n">
        <v>7.12</v>
      </c>
      <c r="E119" s="3" t="n"/>
      <c r="F119" s="3">
        <f>IF(B119="common", 4, IF(B119="uncommon", 3, IF(B119="rare", 0.73878, 1)))</f>
        <v/>
      </c>
      <c r="G119" s="3" t="n"/>
      <c r="H119" s="3" t="n"/>
      <c r="I119" s="3" t="n"/>
      <c r="J119" s="3" t="n"/>
      <c r="K119" s="3" t="n"/>
      <c r="L119" s="3" t="n"/>
      <c r="M119" s="3" t="n"/>
      <c r="N119" s="3" t="n"/>
      <c r="R119" s="3" t="n"/>
      <c r="S119" s="3" t="n"/>
      <c r="T119" s="3" t="n"/>
      <c r="U119" s="3" t="n"/>
      <c r="AA119">
        <f>E119 *1.88541666666666</f>
        <v/>
      </c>
      <c r="AB119" s="3">
        <f>1.88541666666666 * (E119 - AA119)^2</f>
        <v/>
      </c>
      <c r="AC119" s="3" t="n"/>
      <c r="AD119" s="3" t="n"/>
      <c r="AJ119" s="3" t="n"/>
      <c r="AK119" s="3" t="n"/>
      <c r="AL119" s="3" t="n"/>
      <c r="AM119" s="3" t="n"/>
      <c r="AN119" s="3" t="n"/>
      <c r="AT119" s="3" t="n"/>
      <c r="AU119" s="3" t="n"/>
      <c r="AV119" s="3" t="n"/>
      <c r="AW119" s="3" t="n"/>
      <c r="AX119" s="3" t="n"/>
      <c r="AY119" s="3" t="n"/>
    </row>
    <row r="120">
      <c r="A120" s="3" t="inlineStr">
        <is>
          <t>Mew ex - 193/165</t>
        </is>
      </c>
      <c r="B120" s="3" t="inlineStr">
        <is>
          <t>ultra rare</t>
        </is>
      </c>
      <c r="C120" s="3" t="n">
        <v>248</v>
      </c>
      <c r="D120" s="3" t="n">
        <v>17.62</v>
      </c>
      <c r="E120" s="3" t="n"/>
      <c r="F120" s="3">
        <f>IF(B120="common", 4, IF(B120="uncommon", 3, IF(B120="rare", 0.73878, 1)))</f>
        <v/>
      </c>
      <c r="G120" s="3" t="n"/>
      <c r="H120" s="3" t="n"/>
      <c r="I120" s="3" t="n"/>
      <c r="J120" s="3" t="n"/>
      <c r="K120" s="3" t="n"/>
      <c r="L120" s="3" t="n"/>
      <c r="M120" s="3" t="n"/>
      <c r="N120" s="3" t="n"/>
      <c r="R120" s="3" t="n"/>
      <c r="S120" s="3" t="n"/>
      <c r="T120" s="3" t="n"/>
      <c r="U120" s="3" t="n"/>
      <c r="AA120">
        <f>E120 *1.88541666666666</f>
        <v/>
      </c>
      <c r="AB120" s="3">
        <f>1.88541666666666 * (E120 - AA120)^2</f>
        <v/>
      </c>
      <c r="AC120" s="3" t="n"/>
      <c r="AD120" s="3" t="n"/>
      <c r="AJ120" s="3" t="n"/>
      <c r="AK120" s="3" t="n"/>
      <c r="AL120" s="3" t="n"/>
      <c r="AM120" s="3" t="n"/>
      <c r="AN120" s="3" t="n"/>
      <c r="AT120" s="3" t="n"/>
      <c r="AU120" s="3" t="n"/>
      <c r="AV120" s="3" t="n"/>
      <c r="AW120" s="3" t="n"/>
      <c r="AX120" s="3" t="n"/>
      <c r="AY120" s="3" t="n"/>
    </row>
    <row r="121">
      <c r="A121" s="3" t="inlineStr">
        <is>
          <t>Mew ex - 205/165</t>
        </is>
      </c>
      <c r="B121" s="3" t="inlineStr">
        <is>
          <t>hyper rare</t>
        </is>
      </c>
      <c r="C121" s="3" t="n">
        <v>154</v>
      </c>
      <c r="D121" s="3" t="n">
        <v>14.34</v>
      </c>
      <c r="E121" s="3" t="n"/>
      <c r="F121" s="3">
        <f>IF(B121="common", 4, IF(B121="uncommon", 3, IF(B121="rare", 0.73878, 1)))</f>
        <v/>
      </c>
      <c r="G121" s="3" t="n"/>
      <c r="H121" s="3" t="n"/>
      <c r="I121" s="3" t="n"/>
      <c r="J121" s="3" t="n"/>
      <c r="K121" s="3" t="n"/>
      <c r="L121" s="3" t="n"/>
      <c r="M121" s="3" t="n"/>
      <c r="N121" s="3" t="n"/>
      <c r="R121" s="3" t="n"/>
      <c r="S121" s="3" t="n"/>
      <c r="T121" s="3" t="n"/>
      <c r="U121" s="3" t="n"/>
      <c r="AA121">
        <f>E121 *1.88541666666666</f>
        <v/>
      </c>
      <c r="AB121" s="3">
        <f>1.88541666666666 * (E121 - AA121)^2</f>
        <v/>
      </c>
      <c r="AC121" s="3" t="n"/>
      <c r="AD121" s="3" t="n"/>
      <c r="AJ121" s="3" t="n"/>
      <c r="AK121" s="3" t="n"/>
      <c r="AL121" s="3" t="n"/>
      <c r="AM121" s="3" t="n"/>
      <c r="AN121" s="3" t="n"/>
      <c r="AT121" s="3" t="n"/>
      <c r="AU121" s="3" t="n"/>
      <c r="AV121" s="3" t="n"/>
      <c r="AW121" s="3" t="n"/>
      <c r="AX121" s="3" t="n"/>
      <c r="AY121" s="3" t="n"/>
    </row>
    <row r="122">
      <c r="A122" s="3" t="inlineStr">
        <is>
          <t>Mew ex - 205/165 (151 Metal Card)</t>
        </is>
      </c>
      <c r="B122" s="3" t="inlineStr">
        <is>
          <t>double rare</t>
        </is>
      </c>
      <c r="C122" s="3" t="n">
        <v>90</v>
      </c>
      <c r="D122" s="3" t="n">
        <v>12.85</v>
      </c>
      <c r="E122" s="3" t="n"/>
      <c r="F122" s="3">
        <f>IF(B122="common", 4, IF(B122="uncommon", 3, IF(B122="rare", 0.73878, 1)))</f>
        <v/>
      </c>
      <c r="G122" s="3" t="n"/>
      <c r="H122" s="3" t="n"/>
      <c r="I122" s="3" t="n"/>
      <c r="J122" s="3" t="n"/>
      <c r="K122" s="3" t="n"/>
      <c r="L122" s="3" t="n"/>
      <c r="M122" s="3" t="n"/>
      <c r="N122" s="3" t="n"/>
      <c r="R122" s="3" t="n"/>
      <c r="S122" s="3" t="n"/>
      <c r="T122" s="3" t="n"/>
      <c r="U122" s="3" t="n"/>
      <c r="AA122">
        <f>E122 *1.88541666666666</f>
        <v/>
      </c>
      <c r="AB122" s="3">
        <f>1.88541666666666 * (E122 - AA122)^2</f>
        <v/>
      </c>
      <c r="AC122" s="3" t="n"/>
      <c r="AD122" s="3" t="n"/>
      <c r="AJ122" s="3" t="n"/>
      <c r="AK122" s="3" t="n"/>
      <c r="AL122" s="3" t="n"/>
      <c r="AM122" s="3" t="n"/>
      <c r="AN122" s="3" t="n"/>
      <c r="AT122" s="3" t="n"/>
      <c r="AU122" s="3" t="n"/>
      <c r="AV122" s="3" t="n"/>
      <c r="AW122" s="3" t="n"/>
      <c r="AX122" s="3" t="n"/>
      <c r="AY122" s="3" t="n"/>
    </row>
    <row r="123">
      <c r="A123" s="3" t="inlineStr">
        <is>
          <t>Mewtwo</t>
        </is>
      </c>
      <c r="B123" s="3" t="inlineStr">
        <is>
          <t>rare</t>
        </is>
      </c>
      <c r="C123" s="3" t="n">
        <v>26</v>
      </c>
      <c r="D123" s="3" t="n">
        <v>0.54</v>
      </c>
      <c r="E123" s="3" t="n">
        <v>1.19</v>
      </c>
      <c r="F123" s="3">
        <f>IF(B123="common", 4, IF(B123="uncommon", 3, IF(B123="rare", 0.73878, 1)))</f>
        <v/>
      </c>
      <c r="G123" s="3" t="n"/>
      <c r="H123" s="3" t="n"/>
      <c r="I123" s="3" t="n"/>
      <c r="J123" s="3" t="n"/>
      <c r="K123" s="3" t="n"/>
      <c r="L123" s="3" t="n"/>
      <c r="M123" s="3" t="n"/>
      <c r="N123" s="3" t="n"/>
      <c r="R123" s="3" t="n"/>
      <c r="S123" s="3" t="n"/>
      <c r="T123" s="3" t="n"/>
      <c r="U123" s="3" t="n"/>
      <c r="AA123">
        <f>E123 *1.88541666666666</f>
        <v/>
      </c>
      <c r="AB123" s="3">
        <f>1.88541666666666 * (E123 - AA123)^2</f>
        <v/>
      </c>
      <c r="AC123" s="3" t="n"/>
      <c r="AD123" s="3" t="n"/>
      <c r="AJ123" s="3" t="n"/>
      <c r="AK123" s="3" t="n"/>
      <c r="AL123" s="3" t="n"/>
      <c r="AM123" s="3" t="n"/>
      <c r="AN123" s="3" t="n"/>
      <c r="AT123" s="3" t="n"/>
      <c r="AU123" s="3" t="n"/>
      <c r="AV123" s="3" t="n"/>
      <c r="AW123" s="3" t="n"/>
      <c r="AX123" s="3" t="n"/>
      <c r="AY123" s="3" t="n"/>
    </row>
    <row r="124">
      <c r="A124" s="3" t="inlineStr">
        <is>
          <t>Moltres</t>
        </is>
      </c>
      <c r="B124" s="3" t="inlineStr">
        <is>
          <t>rare</t>
        </is>
      </c>
      <c r="C124" s="3" t="n">
        <v>26</v>
      </c>
      <c r="D124" s="3" t="n">
        <v>0.16</v>
      </c>
      <c r="E124" s="3" t="n">
        <v>0.68</v>
      </c>
      <c r="F124" s="3">
        <f>IF(B124="common", 4, IF(B124="uncommon", 3, IF(B124="rare", 0.73878, 1)))</f>
        <v/>
      </c>
      <c r="G124" s="3" t="n"/>
      <c r="H124" s="3" t="n"/>
      <c r="I124" s="3" t="n"/>
      <c r="J124" s="3" t="n"/>
      <c r="K124" s="3" t="n"/>
      <c r="L124" s="3" t="n"/>
      <c r="M124" s="3" t="n"/>
      <c r="N124" s="3" t="n"/>
      <c r="R124" s="3" t="n"/>
      <c r="S124" s="3" t="n"/>
      <c r="T124" s="3" t="n"/>
      <c r="U124" s="3" t="n"/>
      <c r="AA124">
        <f>E124 *1.88541666666666</f>
        <v/>
      </c>
      <c r="AB124" s="3">
        <f>1.88541666666666 * (E124 - AA124)^2</f>
        <v/>
      </c>
      <c r="AC124" s="3" t="n"/>
      <c r="AD124" s="3" t="n"/>
      <c r="AJ124" s="3" t="n"/>
      <c r="AK124" s="3" t="n"/>
      <c r="AL124" s="3" t="n"/>
      <c r="AM124" s="3" t="n"/>
      <c r="AN124" s="3" t="n"/>
      <c r="AT124" s="3" t="n"/>
      <c r="AU124" s="3" t="n"/>
      <c r="AV124" s="3" t="n"/>
      <c r="AW124" s="3" t="n"/>
      <c r="AX124" s="3" t="n"/>
      <c r="AY124" s="3" t="n"/>
    </row>
    <row r="125">
      <c r="A125" s="3" t="inlineStr">
        <is>
          <t>Mr. Mime - 122/165</t>
        </is>
      </c>
      <c r="B125" s="3" t="inlineStr">
        <is>
          <t>rare</t>
        </is>
      </c>
      <c r="C125" s="3" t="n">
        <v>26</v>
      </c>
      <c r="D125" s="3" t="n">
        <v>0.16</v>
      </c>
      <c r="E125" s="3" t="n">
        <v>0.46</v>
      </c>
      <c r="F125" s="3">
        <f>IF(B125="common", 4, IF(B125="uncommon", 3, IF(B125="rare", 0.73878, 1)))</f>
        <v/>
      </c>
      <c r="G125" s="3" t="n"/>
      <c r="H125" s="3" t="n"/>
      <c r="I125" s="3" t="n"/>
      <c r="J125" s="3" t="n"/>
      <c r="K125" s="3" t="n"/>
      <c r="L125" s="3" t="n"/>
      <c r="M125" s="3" t="n"/>
      <c r="N125" s="3" t="n"/>
      <c r="R125" s="3" t="n"/>
      <c r="S125" s="3" t="n"/>
      <c r="T125" s="3" t="n"/>
      <c r="U125" s="3" t="n"/>
      <c r="AA125">
        <f>E125 *1.88541666666666</f>
        <v/>
      </c>
      <c r="AB125" s="3">
        <f>1.88541666666666 * (E125 - AA125)^2</f>
        <v/>
      </c>
      <c r="AC125" s="3" t="n"/>
      <c r="AD125" s="3" t="n"/>
      <c r="AJ125" s="3" t="n"/>
      <c r="AK125" s="3" t="n"/>
      <c r="AL125" s="3" t="n"/>
      <c r="AM125" s="3" t="n"/>
      <c r="AN125" s="3" t="n"/>
      <c r="AT125" s="3" t="n"/>
      <c r="AU125" s="3" t="n"/>
      <c r="AV125" s="3" t="n"/>
      <c r="AW125" s="3" t="n"/>
      <c r="AX125" s="3" t="n"/>
      <c r="AY125" s="3" t="n"/>
    </row>
    <row r="126">
      <c r="A126" s="3" t="inlineStr">
        <is>
          <t>Mr. Mime - 179/165</t>
        </is>
      </c>
      <c r="B126" s="3" t="inlineStr">
        <is>
          <t>illustration rare</t>
        </is>
      </c>
      <c r="C126" s="3" t="n">
        <v>188</v>
      </c>
      <c r="D126" s="3" t="n">
        <v>6.36</v>
      </c>
      <c r="E126" s="3" t="n"/>
      <c r="F126" s="3">
        <f>IF(B126="common", 4, IF(B126="uncommon", 3, IF(B126="rare", 0.73878, 1)))</f>
        <v/>
      </c>
      <c r="G126" s="3" t="n"/>
      <c r="H126" s="3" t="n"/>
      <c r="I126" s="3" t="n"/>
      <c r="J126" s="3" t="n"/>
      <c r="K126" s="3" t="n"/>
      <c r="L126" s="3" t="n"/>
      <c r="M126" s="3" t="n"/>
      <c r="N126" s="3" t="n"/>
      <c r="R126" s="3" t="n"/>
      <c r="S126" s="3" t="n"/>
      <c r="T126" s="3" t="n"/>
      <c r="U126" s="3" t="n"/>
      <c r="AA126">
        <f>E126 *1.88541666666666</f>
        <v/>
      </c>
      <c r="AB126" s="3">
        <f>1.88541666666666 * (E126 - AA126)^2</f>
        <v/>
      </c>
      <c r="AC126" s="3" t="n"/>
      <c r="AD126" s="3" t="n"/>
      <c r="AJ126" s="3" t="n"/>
      <c r="AK126" s="3" t="n"/>
      <c r="AL126" s="3" t="n"/>
      <c r="AM126" s="3" t="n"/>
      <c r="AN126" s="3" t="n"/>
      <c r="AT126" s="3" t="n"/>
      <c r="AU126" s="3" t="n"/>
      <c r="AV126" s="3" t="n"/>
      <c r="AW126" s="3" t="n"/>
      <c r="AX126" s="3" t="n"/>
      <c r="AY126" s="3" t="n"/>
    </row>
    <row r="127">
      <c r="A127" s="3" t="inlineStr">
        <is>
          <t>Muk</t>
        </is>
      </c>
      <c r="B127" s="3" t="inlineStr">
        <is>
          <t>uncommon</t>
        </is>
      </c>
      <c r="C127" s="3" t="n">
        <v>62</v>
      </c>
      <c r="D127" s="3" t="n">
        <v>0.09</v>
      </c>
      <c r="E127" s="3" t="n">
        <v>0.15</v>
      </c>
      <c r="F127" s="3">
        <f>IF(B127="common", 4, IF(B127="uncommon", 3, IF(B127="rare", 0.73878, 1)))</f>
        <v/>
      </c>
      <c r="G127" s="3" t="n"/>
      <c r="H127" s="3" t="n"/>
      <c r="I127" s="3" t="n"/>
      <c r="J127" s="3" t="n"/>
      <c r="K127" s="3" t="n"/>
      <c r="L127" s="3" t="n"/>
      <c r="M127" s="3" t="n"/>
      <c r="N127" s="3" t="n"/>
      <c r="R127" s="3" t="n"/>
      <c r="S127" s="3" t="n"/>
      <c r="T127" s="3" t="n"/>
      <c r="U127" s="3" t="n"/>
      <c r="AA127">
        <f>E127 *1.88541666666666</f>
        <v/>
      </c>
      <c r="AB127" s="3">
        <f>1.88541666666666 * (E127 - AA127)^2</f>
        <v/>
      </c>
      <c r="AC127" s="3" t="n"/>
      <c r="AD127" s="3" t="n"/>
      <c r="AJ127" s="3" t="n"/>
      <c r="AK127" s="3" t="n"/>
      <c r="AL127" s="3" t="n"/>
      <c r="AM127" s="3" t="n"/>
      <c r="AN127" s="3" t="n"/>
      <c r="AT127" s="3" t="n"/>
      <c r="AU127" s="3" t="n"/>
      <c r="AV127" s="3" t="n"/>
      <c r="AW127" s="3" t="n"/>
      <c r="AX127" s="3" t="n"/>
      <c r="AY127" s="3" t="n"/>
    </row>
    <row r="128">
      <c r="A128" s="3" t="inlineStr">
        <is>
          <t>Nidoking - 034/165</t>
        </is>
      </c>
      <c r="B128" s="3" t="inlineStr">
        <is>
          <t>rare</t>
        </is>
      </c>
      <c r="C128" s="3" t="n">
        <v>26</v>
      </c>
      <c r="D128" s="3" t="n">
        <v>0.19</v>
      </c>
      <c r="E128" s="3" t="n">
        <v>0.93</v>
      </c>
      <c r="F128" s="3">
        <f>IF(B128="common", 4, IF(B128="uncommon", 3, IF(B128="rare", 0.73878, 1)))</f>
        <v/>
      </c>
      <c r="G128" s="3" t="n"/>
      <c r="H128" s="3" t="n"/>
      <c r="I128" s="3" t="n"/>
      <c r="J128" s="3" t="n"/>
      <c r="K128" s="3" t="n"/>
      <c r="L128" s="3" t="n"/>
      <c r="M128" s="3" t="n"/>
      <c r="N128" s="3" t="n"/>
      <c r="R128" s="3" t="n"/>
      <c r="S128" s="3" t="n"/>
      <c r="T128" s="3" t="n"/>
      <c r="U128" s="3" t="n"/>
      <c r="AA128">
        <f>E128 *1.88541666666666</f>
        <v/>
      </c>
      <c r="AB128" s="3">
        <f>1.88541666666666 * (E128 - AA128)^2</f>
        <v/>
      </c>
      <c r="AC128" s="3" t="n"/>
      <c r="AD128" s="3" t="n"/>
      <c r="AJ128" s="3" t="n"/>
      <c r="AK128" s="3" t="n"/>
      <c r="AL128" s="3" t="n"/>
      <c r="AM128" s="3" t="n"/>
      <c r="AN128" s="3" t="n"/>
      <c r="AT128" s="3" t="n"/>
      <c r="AU128" s="3" t="n"/>
      <c r="AV128" s="3" t="n"/>
      <c r="AW128" s="3" t="n"/>
      <c r="AX128" s="3" t="n"/>
      <c r="AY128" s="3" t="n"/>
    </row>
    <row r="129">
      <c r="A129" s="3" t="inlineStr">
        <is>
          <t>Nidoking - 174/165</t>
        </is>
      </c>
      <c r="B129" s="3" t="inlineStr">
        <is>
          <t>illustration rare</t>
        </is>
      </c>
      <c r="C129" s="3" t="n">
        <v>188</v>
      </c>
      <c r="D129" s="3" t="n">
        <v>9.74</v>
      </c>
      <c r="E129" s="3" t="n"/>
      <c r="F129" s="3">
        <f>IF(B129="common", 4, IF(B129="uncommon", 3, IF(B129="rare", 0.73878, 1)))</f>
        <v/>
      </c>
      <c r="G129" s="3" t="n"/>
      <c r="H129" s="3" t="n"/>
      <c r="I129" s="3" t="n"/>
      <c r="J129" s="3" t="n"/>
      <c r="K129" s="3" t="n"/>
      <c r="L129" s="3" t="n"/>
      <c r="M129" s="3" t="n"/>
      <c r="N129" s="3" t="n"/>
      <c r="R129" s="3" t="n"/>
      <c r="S129" s="3" t="n"/>
      <c r="T129" s="3" t="n"/>
      <c r="U129" s="3" t="n"/>
      <c r="AA129">
        <f>E129 *1.88541666666666</f>
        <v/>
      </c>
      <c r="AB129" s="3">
        <f>1.88541666666666 * (E129 - AA129)^2</f>
        <v/>
      </c>
      <c r="AC129" s="3" t="n"/>
      <c r="AD129" s="3" t="n"/>
      <c r="AJ129" s="3" t="n"/>
      <c r="AK129" s="3" t="n"/>
      <c r="AL129" s="3" t="n"/>
      <c r="AM129" s="3" t="n"/>
      <c r="AN129" s="3" t="n"/>
      <c r="AT129" s="3" t="n"/>
      <c r="AU129" s="3" t="n"/>
      <c r="AV129" s="3" t="n"/>
      <c r="AW129" s="3" t="n"/>
      <c r="AX129" s="3" t="n"/>
      <c r="AY129" s="3" t="n"/>
    </row>
    <row r="130">
      <c r="A130" s="3" t="inlineStr">
        <is>
          <t>Nidoqueen</t>
        </is>
      </c>
      <c r="B130" s="3" t="inlineStr">
        <is>
          <t>uncommon</t>
        </is>
      </c>
      <c r="C130" s="3" t="n">
        <v>62</v>
      </c>
      <c r="D130" s="3" t="n">
        <v>0.1</v>
      </c>
      <c r="E130" s="3" t="n">
        <v>0.16</v>
      </c>
      <c r="F130" s="3">
        <f>IF(B130="common", 4, IF(B130="uncommon", 3, IF(B130="rare", 0.73878, 1)))</f>
        <v/>
      </c>
      <c r="G130" s="3" t="n"/>
      <c r="H130" s="3" t="n"/>
      <c r="I130" s="3" t="n"/>
      <c r="J130" s="3" t="n"/>
      <c r="K130" s="3" t="n"/>
      <c r="L130" s="3" t="n"/>
      <c r="M130" s="3" t="n"/>
      <c r="N130" s="3" t="n"/>
      <c r="R130" s="3" t="n"/>
      <c r="S130" s="3" t="n"/>
      <c r="T130" s="3" t="n"/>
      <c r="U130" s="3" t="n"/>
      <c r="AA130">
        <f>E130 *1.88541666666666</f>
        <v/>
      </c>
      <c r="AB130" s="3">
        <f>1.88541666666666 * (E130 - AA130)^2</f>
        <v/>
      </c>
      <c r="AC130" s="3" t="n"/>
      <c r="AD130" s="3" t="n"/>
      <c r="AJ130" s="3" t="n"/>
      <c r="AK130" s="3" t="n"/>
      <c r="AL130" s="3" t="n"/>
      <c r="AM130" s="3" t="n"/>
      <c r="AN130" s="3" t="n"/>
      <c r="AT130" s="3" t="n"/>
      <c r="AU130" s="3" t="n"/>
      <c r="AV130" s="3" t="n"/>
      <c r="AW130" s="3" t="n"/>
      <c r="AX130" s="3" t="n"/>
      <c r="AY130" s="3" t="n"/>
    </row>
    <row r="131">
      <c r="A131" s="3" t="inlineStr">
        <is>
          <t>Nidoran F</t>
        </is>
      </c>
      <c r="B131" s="3" t="inlineStr">
        <is>
          <t>common</t>
        </is>
      </c>
      <c r="C131" s="3" t="n">
        <v>66</v>
      </c>
      <c r="D131" s="3" t="n">
        <v>0.11</v>
      </c>
      <c r="E131" s="3" t="n">
        <v>1.41</v>
      </c>
      <c r="F131" s="3">
        <f>IF(B131="common", 4, IF(B131="uncommon", 3, IF(B131="rare", 0.73878, 1)))</f>
        <v/>
      </c>
      <c r="G131" s="3" t="n"/>
      <c r="H131" s="3" t="n"/>
      <c r="I131" s="3" t="n"/>
      <c r="J131" s="3" t="n"/>
      <c r="K131" s="3" t="n"/>
      <c r="L131" s="3" t="n"/>
      <c r="M131" s="3" t="n"/>
      <c r="N131" s="3" t="n"/>
      <c r="R131" s="3" t="n"/>
      <c r="S131" s="3" t="n"/>
      <c r="T131" s="3" t="n"/>
      <c r="U131" s="3" t="n"/>
      <c r="AA131">
        <f>E131 *1.88541666666666</f>
        <v/>
      </c>
      <c r="AB131" s="3">
        <f>1.88541666666666 * (E131  -  AA131)^2</f>
        <v/>
      </c>
      <c r="AC131" s="3" t="n"/>
      <c r="AD131" s="3" t="n"/>
      <c r="AJ131" s="3" t="n"/>
      <c r="AK131" s="3" t="n"/>
      <c r="AL131" s="3" t="n"/>
      <c r="AM131" s="3" t="n"/>
      <c r="AN131" s="3" t="n"/>
      <c r="AT131" s="3" t="n"/>
      <c r="AU131" s="3" t="n"/>
      <c r="AV131" s="3" t="n"/>
      <c r="AW131" s="3" t="n"/>
      <c r="AX131" s="3" t="n"/>
      <c r="AY131" s="3" t="n"/>
    </row>
    <row r="132">
      <c r="A132" s="3" t="inlineStr">
        <is>
          <t>Nidoran M</t>
        </is>
      </c>
      <c r="B132" s="3" t="inlineStr">
        <is>
          <t>common</t>
        </is>
      </c>
      <c r="C132" s="3" t="n">
        <v>66</v>
      </c>
      <c r="D132" s="3" t="n">
        <v>0.1</v>
      </c>
      <c r="E132" s="3" t="n">
        <v>1.46</v>
      </c>
      <c r="F132" s="3">
        <f>IF(B132="common", 4, IF(B132="uncommon", 3, IF(B132="rare", 0.73878, 1)))</f>
        <v/>
      </c>
      <c r="G132" s="3" t="n"/>
      <c r="H132" s="3" t="n"/>
      <c r="I132" s="3" t="n"/>
      <c r="J132" s="3" t="n"/>
      <c r="K132" s="3" t="n"/>
      <c r="L132" s="3" t="n"/>
      <c r="M132" s="3" t="n"/>
      <c r="N132" s="3" t="n"/>
      <c r="R132" s="3" t="n"/>
      <c r="S132" s="3" t="n"/>
      <c r="T132" s="3" t="n"/>
      <c r="U132" s="3" t="n"/>
      <c r="AA132">
        <f>E132 *1.88541666666666</f>
        <v/>
      </c>
      <c r="AB132" s="3">
        <f>1.88541666666666 * (E132 - AA132)^2</f>
        <v/>
      </c>
      <c r="AC132" s="3" t="n"/>
      <c r="AD132" s="3" t="n"/>
      <c r="AJ132" s="3" t="n"/>
      <c r="AK132" s="3" t="n"/>
      <c r="AL132" s="3" t="n"/>
      <c r="AM132" s="3" t="n"/>
      <c r="AN132" s="3" t="n"/>
      <c r="AT132" s="3" t="n"/>
      <c r="AU132" s="3" t="n"/>
      <c r="AV132" s="3" t="n"/>
      <c r="AW132" s="3" t="n"/>
      <c r="AX132" s="3" t="n"/>
      <c r="AY132" s="3" t="n"/>
    </row>
    <row r="133">
      <c r="A133" s="3" t="inlineStr">
        <is>
          <t>Nidorina</t>
        </is>
      </c>
      <c r="B133" s="3" t="inlineStr">
        <is>
          <t>uncommon</t>
        </is>
      </c>
      <c r="C133" s="3" t="n">
        <v>62</v>
      </c>
      <c r="D133" s="3" t="n">
        <v>0.1</v>
      </c>
      <c r="E133" s="3" t="n">
        <v>0.16</v>
      </c>
      <c r="F133" s="3">
        <f>IF(B133="common", 4, IF(B133="uncommon", 3, IF(B133="rare", 0.73878, 1)))</f>
        <v/>
      </c>
      <c r="G133" s="3" t="n"/>
      <c r="H133" s="3" t="n"/>
      <c r="I133" s="3" t="n"/>
      <c r="J133" s="3" t="n"/>
      <c r="K133" s="3" t="n"/>
      <c r="L133" s="3" t="n"/>
      <c r="M133" s="3" t="n"/>
      <c r="N133" s="3" t="n"/>
      <c r="R133" s="3" t="n"/>
      <c r="S133" s="3" t="n"/>
      <c r="T133" s="3" t="n"/>
      <c r="U133" s="3" t="n"/>
      <c r="AA133">
        <f>E133 *1.88541666666666</f>
        <v/>
      </c>
      <c r="AB133" s="3">
        <f>1.88541666666666 * (E133 - AA133)^2</f>
        <v/>
      </c>
      <c r="AC133" s="3" t="n"/>
      <c r="AD133" s="3" t="n"/>
      <c r="AJ133" s="3" t="n"/>
      <c r="AK133" s="3" t="n"/>
      <c r="AL133" s="3" t="n"/>
      <c r="AM133" s="3" t="n"/>
      <c r="AN133" s="3" t="n"/>
      <c r="AT133" s="3" t="n"/>
      <c r="AU133" s="3" t="n"/>
      <c r="AV133" s="3" t="n"/>
      <c r="AW133" s="3" t="n"/>
      <c r="AX133" s="3" t="n"/>
      <c r="AY133" s="3" t="n"/>
    </row>
    <row r="134">
      <c r="A134" s="3" t="inlineStr">
        <is>
          <t>Nidorino</t>
        </is>
      </c>
      <c r="B134" s="3" t="inlineStr">
        <is>
          <t>uncommon</t>
        </is>
      </c>
      <c r="C134" s="3" t="n">
        <v>62</v>
      </c>
      <c r="D134" s="3" t="n">
        <v>0.11</v>
      </c>
      <c r="E134" s="3" t="n">
        <v>0.16</v>
      </c>
      <c r="F134" s="3">
        <f>IF(B134="common", 4, IF(B134="uncommon", 3, IF(B134="rare", 0.73878, 1)))</f>
        <v/>
      </c>
      <c r="G134" s="3" t="n"/>
      <c r="H134" s="3" t="n"/>
      <c r="I134" s="3" t="n"/>
      <c r="J134" s="3" t="n"/>
      <c r="K134" s="3" t="n"/>
      <c r="L134" s="3" t="n"/>
      <c r="M134" s="3" t="n"/>
      <c r="N134" s="3" t="n"/>
      <c r="R134" s="3" t="n"/>
      <c r="S134" s="3" t="n"/>
      <c r="T134" s="3" t="n"/>
      <c r="U134" s="3" t="n"/>
      <c r="AA134">
        <f>E134 *1.88541666666666</f>
        <v/>
      </c>
      <c r="AB134" s="3">
        <f>1.88541666666666 * (E134 - AA134)^2</f>
        <v/>
      </c>
      <c r="AC134" s="3" t="n"/>
      <c r="AD134" s="3" t="n"/>
      <c r="AJ134" s="3" t="n"/>
      <c r="AK134" s="3" t="n"/>
      <c r="AL134" s="3" t="n"/>
      <c r="AM134" s="3" t="n"/>
      <c r="AN134" s="3" t="n"/>
      <c r="AT134" s="3" t="n"/>
      <c r="AU134" s="3" t="n"/>
      <c r="AV134" s="3" t="n"/>
      <c r="AW134" s="3" t="n"/>
      <c r="AX134" s="3" t="n"/>
      <c r="AY134" s="3" t="n"/>
    </row>
    <row r="135">
      <c r="A135" s="3" t="inlineStr">
        <is>
          <t>Ninetales ex - 038/165</t>
        </is>
      </c>
      <c r="B135" s="3" t="inlineStr">
        <is>
          <t>double rare</t>
        </is>
      </c>
      <c r="C135" s="3" t="n">
        <v>90</v>
      </c>
      <c r="D135" s="3" t="n">
        <v>0.9</v>
      </c>
      <c r="E135" s="3" t="n"/>
      <c r="F135" s="3">
        <f>IF(B135="common", 4, IF(B135="uncommon", 3, IF(B135="rare", 0.73878, 1)))</f>
        <v/>
      </c>
      <c r="G135" s="3" t="n"/>
      <c r="H135" s="3" t="n"/>
      <c r="I135" s="3" t="n"/>
      <c r="J135" s="3" t="n"/>
      <c r="K135" s="3" t="n"/>
      <c r="L135" s="3" t="n"/>
      <c r="M135" s="3" t="n"/>
      <c r="N135" s="3" t="n"/>
      <c r="R135" s="3" t="n"/>
      <c r="S135" s="3" t="n"/>
      <c r="T135" s="3" t="n"/>
      <c r="U135" s="3" t="n"/>
      <c r="AA135">
        <f>E135 *1.88541666666666</f>
        <v/>
      </c>
      <c r="AB135" s="3">
        <f>1.88541666666666 * (E135 - AA135)^2</f>
        <v/>
      </c>
      <c r="AC135" s="3" t="n"/>
      <c r="AD135" s="3" t="n"/>
      <c r="AJ135" s="3" t="n"/>
      <c r="AK135" s="3" t="n"/>
      <c r="AL135" s="3" t="n"/>
      <c r="AM135" s="3" t="n"/>
      <c r="AN135" s="3" t="n"/>
      <c r="AT135" s="3" t="n"/>
      <c r="AU135" s="3" t="n"/>
      <c r="AV135" s="3" t="n"/>
      <c r="AW135" s="3" t="n"/>
      <c r="AX135" s="3" t="n"/>
      <c r="AY135" s="3" t="n"/>
    </row>
    <row r="136">
      <c r="A136" s="3" t="inlineStr">
        <is>
          <t>Ninetales ex - 186/165</t>
        </is>
      </c>
      <c r="B136" s="3" t="inlineStr">
        <is>
          <t>ultra rare</t>
        </is>
      </c>
      <c r="C136" s="3" t="n">
        <v>248</v>
      </c>
      <c r="D136" s="3" t="n">
        <v>8.49</v>
      </c>
      <c r="E136" s="3" t="n"/>
      <c r="F136" s="3">
        <f>IF(B136="common", 4, IF(B136="uncommon", 3, IF(B136="rare", 0.73878, 1)))</f>
        <v/>
      </c>
      <c r="G136" s="3" t="n"/>
      <c r="H136" s="3" t="n"/>
      <c r="I136" s="3" t="n"/>
      <c r="J136" s="3" t="n"/>
      <c r="K136" s="3" t="n"/>
      <c r="L136" s="3" t="n"/>
      <c r="M136" s="3" t="n"/>
      <c r="N136" s="3" t="n"/>
      <c r="R136" s="3" t="n"/>
      <c r="S136" s="3" t="n"/>
      <c r="T136" s="3" t="n"/>
      <c r="U136" s="3" t="n"/>
      <c r="AA136">
        <f>E136 *1.88541666666666</f>
        <v/>
      </c>
      <c r="AB136" s="3">
        <f>1.88541666666666 * (E136 - AA136)^2</f>
        <v/>
      </c>
      <c r="AC136" s="3" t="n"/>
      <c r="AD136" s="3" t="n"/>
      <c r="AJ136" s="3" t="n"/>
      <c r="AK136" s="3" t="n"/>
      <c r="AL136" s="3" t="n"/>
      <c r="AM136" s="3" t="n"/>
      <c r="AN136" s="3" t="n"/>
      <c r="AT136" s="3" t="n"/>
      <c r="AU136" s="3" t="n"/>
      <c r="AV136" s="3" t="n"/>
      <c r="AW136" s="3" t="n"/>
      <c r="AX136" s="3" t="n"/>
      <c r="AY136" s="3" t="n"/>
    </row>
    <row r="137">
      <c r="A137" s="3" t="inlineStr">
        <is>
          <t>Oddish</t>
        </is>
      </c>
      <c r="B137" s="3" t="inlineStr">
        <is>
          <t>common</t>
        </is>
      </c>
      <c r="C137" s="3" t="n">
        <v>66</v>
      </c>
      <c r="D137" s="3" t="n">
        <v>0.08</v>
      </c>
      <c r="E137" s="3" t="n">
        <v>0.15</v>
      </c>
      <c r="F137" s="3">
        <f>IF(B137="common", 4, IF(B137="uncommon", 3, IF(B137="rare", 0.73878, 1)))</f>
        <v/>
      </c>
      <c r="G137" s="3" t="n"/>
      <c r="H137" s="3" t="n"/>
      <c r="I137" s="3" t="n"/>
      <c r="J137" s="3" t="n"/>
      <c r="K137" s="3" t="n"/>
      <c r="L137" s="3" t="n"/>
      <c r="M137" s="3" t="n"/>
      <c r="N137" s="3" t="n"/>
      <c r="R137" s="3" t="n"/>
      <c r="S137" s="3" t="n"/>
      <c r="T137" s="3" t="n"/>
      <c r="U137" s="3" t="n"/>
      <c r="AA137">
        <f>E137 *1.88541666666666</f>
        <v/>
      </c>
      <c r="AB137" s="3">
        <f>1.88541666666666 * (E137 - AA137)^2</f>
        <v/>
      </c>
      <c r="AC137" s="3" t="n"/>
      <c r="AD137" s="3" t="n"/>
      <c r="AJ137" s="3" t="n"/>
      <c r="AK137" s="3" t="n"/>
      <c r="AL137" s="3" t="n"/>
      <c r="AM137" s="3" t="n"/>
      <c r="AN137" s="3" t="n"/>
      <c r="AT137" s="3" t="n"/>
      <c r="AU137" s="3" t="n"/>
      <c r="AV137" s="3" t="n"/>
      <c r="AW137" s="3" t="n"/>
      <c r="AX137" s="3" t="n"/>
      <c r="AY137" s="3" t="n"/>
    </row>
    <row r="138">
      <c r="A138" s="3" t="inlineStr">
        <is>
          <t>Omanyte - 138/165</t>
        </is>
      </c>
      <c r="B138" s="3" t="inlineStr">
        <is>
          <t>uncommon</t>
        </is>
      </c>
      <c r="C138" s="3" t="n">
        <v>62</v>
      </c>
      <c r="D138" s="3" t="n">
        <v>0.09</v>
      </c>
      <c r="E138" s="3" t="n">
        <v>1.23</v>
      </c>
      <c r="F138" s="3">
        <f>IF(B138="common", 4, IF(B138="uncommon", 3, IF(B138="rare", 0.73878, 1)))</f>
        <v/>
      </c>
      <c r="G138" s="3" t="n"/>
      <c r="H138" s="3" t="n"/>
      <c r="I138" s="3" t="n"/>
      <c r="J138" s="3" t="n"/>
      <c r="K138" s="3" t="n"/>
      <c r="L138" s="3" t="n"/>
      <c r="M138" s="3" t="n"/>
      <c r="N138" s="3" t="n"/>
      <c r="R138" s="3" t="n"/>
      <c r="S138" s="3" t="n"/>
      <c r="T138" s="3" t="n"/>
      <c r="U138" s="3" t="n"/>
      <c r="AA138">
        <f>E138 *1.88541666666666</f>
        <v/>
      </c>
      <c r="AB138" s="3">
        <f>1.88541666666666 * (E138 - AA138)^2</f>
        <v/>
      </c>
      <c r="AC138" s="3" t="n"/>
      <c r="AD138" s="3" t="n"/>
      <c r="AJ138" s="3" t="n"/>
      <c r="AK138" s="3" t="n"/>
      <c r="AL138" s="3" t="n"/>
      <c r="AM138" s="3" t="n"/>
      <c r="AN138" s="3" t="n"/>
      <c r="AT138" s="3" t="n"/>
      <c r="AU138" s="3" t="n"/>
      <c r="AV138" s="3" t="n"/>
      <c r="AW138" s="3" t="n"/>
      <c r="AX138" s="3" t="n"/>
      <c r="AY138" s="3" t="n"/>
    </row>
    <row r="139">
      <c r="A139" s="3" t="inlineStr">
        <is>
          <t>Omanyte - 180/165</t>
        </is>
      </c>
      <c r="B139" s="3" t="inlineStr">
        <is>
          <t>illustration rare</t>
        </is>
      </c>
      <c r="C139" s="3" t="n">
        <v>188</v>
      </c>
      <c r="D139" s="3" t="n">
        <v>6.49</v>
      </c>
      <c r="E139" s="3" t="n"/>
      <c r="F139" s="3">
        <f>IF(B139="common", 4, IF(B139="uncommon", 3, IF(B139="rare", 0.73878, 1)))</f>
        <v/>
      </c>
      <c r="G139" s="3" t="n"/>
      <c r="H139" s="3" t="n"/>
      <c r="I139" s="3" t="n"/>
      <c r="J139" s="3" t="n"/>
      <c r="K139" s="3" t="n"/>
      <c r="L139" s="3" t="n"/>
      <c r="M139" s="3" t="n"/>
      <c r="N139" s="3" t="n"/>
      <c r="R139" s="3" t="n"/>
      <c r="S139" s="3" t="n"/>
      <c r="T139" s="3" t="n"/>
      <c r="U139" s="3" t="n"/>
      <c r="AA139">
        <f>E139 *1.88541666666666</f>
        <v/>
      </c>
      <c r="AB139" s="3">
        <f>1.88541666666666 * (E139 - AA139)^2</f>
        <v/>
      </c>
      <c r="AC139" s="3" t="n"/>
      <c r="AD139" s="3" t="n"/>
      <c r="AJ139" s="3" t="n"/>
      <c r="AK139" s="3" t="n"/>
      <c r="AL139" s="3" t="n"/>
      <c r="AM139" s="3" t="n"/>
      <c r="AN139" s="3" t="n"/>
      <c r="AT139" s="3" t="n"/>
      <c r="AU139" s="3" t="n"/>
      <c r="AV139" s="3" t="n"/>
      <c r="AW139" s="3" t="n"/>
      <c r="AX139" s="3" t="n"/>
      <c r="AY139" s="3" t="n"/>
    </row>
    <row r="140">
      <c r="A140" s="3" t="inlineStr">
        <is>
          <t>Omastar</t>
        </is>
      </c>
      <c r="B140" s="3" t="inlineStr">
        <is>
          <t>rare</t>
        </is>
      </c>
      <c r="C140" s="3" t="n">
        <v>26</v>
      </c>
      <c r="D140" s="3" t="n">
        <v>0.17</v>
      </c>
      <c r="E140" s="3" t="n">
        <v>0.62</v>
      </c>
      <c r="F140" s="3">
        <f>IF(B140="common", 4, IF(B140="uncommon", 3, IF(B140="rare", 0.73878, 1)))</f>
        <v/>
      </c>
      <c r="G140" s="3" t="n"/>
      <c r="H140" s="3" t="n"/>
      <c r="I140" s="3" t="n"/>
      <c r="J140" s="3" t="n"/>
      <c r="K140" s="3" t="n"/>
      <c r="L140" s="3" t="n"/>
      <c r="M140" s="3" t="n"/>
      <c r="N140" s="3" t="n"/>
      <c r="R140" s="3" t="n"/>
      <c r="S140" s="3" t="n"/>
      <c r="T140" s="3" t="n"/>
      <c r="U140" s="3" t="n"/>
      <c r="AA140">
        <f>E140 *1.88541666666666</f>
        <v/>
      </c>
      <c r="AB140" s="3">
        <f>1.88541666666666 * (E140 - AA140)^2</f>
        <v/>
      </c>
      <c r="AC140" s="3" t="n"/>
      <c r="AD140" s="3" t="n"/>
      <c r="AJ140" s="3" t="n"/>
      <c r="AK140" s="3" t="n"/>
      <c r="AL140" s="3" t="n"/>
      <c r="AM140" s="3" t="n"/>
      <c r="AN140" s="3" t="n"/>
      <c r="AT140" s="3" t="n"/>
      <c r="AU140" s="3" t="n"/>
      <c r="AV140" s="3" t="n"/>
      <c r="AW140" s="3" t="n"/>
      <c r="AX140" s="3" t="n"/>
      <c r="AY140" s="3" t="n"/>
    </row>
    <row r="141">
      <c r="A141" s="3" t="inlineStr">
        <is>
          <t>Onix</t>
        </is>
      </c>
      <c r="B141" s="3" t="inlineStr">
        <is>
          <t>uncommon</t>
        </is>
      </c>
      <c r="C141" s="3" t="n">
        <v>62</v>
      </c>
      <c r="D141" s="3" t="n">
        <v>0.07000000000000001</v>
      </c>
      <c r="E141" s="3" t="n">
        <v>1.07</v>
      </c>
      <c r="F141" s="3">
        <f>IF(B141="common", 4, IF(B141="uncommon", 3, IF(B141="rare", 0.73878, 1)))</f>
        <v/>
      </c>
      <c r="G141" s="3" t="n"/>
      <c r="H141" s="3" t="n"/>
      <c r="I141" s="3" t="n"/>
      <c r="J141" s="3" t="n"/>
      <c r="K141" s="3" t="n"/>
      <c r="L141" s="3" t="n"/>
      <c r="M141" s="3" t="n"/>
      <c r="N141" s="3" t="n"/>
      <c r="R141" s="3" t="n"/>
      <c r="S141" s="3" t="n"/>
      <c r="T141" s="3" t="n"/>
      <c r="U141" s="3" t="n"/>
      <c r="AA141">
        <f>E141 *1.88541666666666</f>
        <v/>
      </c>
      <c r="AB141" s="3">
        <f>1.88541666666666 * (E141 - AA141)^2</f>
        <v/>
      </c>
      <c r="AC141" s="3" t="n"/>
      <c r="AD141" s="3" t="n"/>
      <c r="AJ141" s="3" t="n"/>
      <c r="AK141" s="3" t="n"/>
      <c r="AL141" s="3" t="n"/>
      <c r="AM141" s="3" t="n"/>
      <c r="AN141" s="3" t="n"/>
      <c r="AT141" s="3" t="n"/>
      <c r="AU141" s="3" t="n"/>
      <c r="AV141" s="3" t="n"/>
      <c r="AW141" s="3" t="n"/>
      <c r="AX141" s="3" t="n"/>
      <c r="AY141" s="3" t="n"/>
    </row>
    <row r="142">
      <c r="A142" s="3" t="inlineStr">
        <is>
          <t>Paras</t>
        </is>
      </c>
      <c r="B142" s="3" t="inlineStr">
        <is>
          <t>common</t>
        </is>
      </c>
      <c r="C142" s="3" t="n">
        <v>66</v>
      </c>
      <c r="D142" s="3" t="n">
        <v>0.08</v>
      </c>
      <c r="E142" s="3" t="n">
        <v>0.14</v>
      </c>
      <c r="F142" s="3">
        <f>IF(B142="common", 4, IF(B142="uncommon", 3, IF(B142="rare", 0.73878, 1)))</f>
        <v/>
      </c>
      <c r="G142" s="3" t="n"/>
      <c r="H142" s="3" t="n"/>
      <c r="I142" s="3" t="n"/>
      <c r="J142" s="3" t="n"/>
      <c r="K142" s="3" t="n"/>
      <c r="L142" s="3" t="n"/>
      <c r="M142" s="3" t="n"/>
      <c r="N142" s="3" t="n"/>
      <c r="R142" s="3" t="n"/>
      <c r="S142" s="3" t="n"/>
      <c r="T142" s="3" t="n"/>
      <c r="U142" s="3" t="n"/>
      <c r="AA142">
        <f>E142 *1.88541666666666</f>
        <v/>
      </c>
      <c r="AB142" s="3">
        <f>1.88541666666666 * (E142 - AA142)^2</f>
        <v/>
      </c>
      <c r="AC142" s="3" t="n"/>
      <c r="AD142" s="3" t="n"/>
      <c r="AJ142" s="3" t="n"/>
      <c r="AK142" s="3" t="n"/>
      <c r="AL142" s="3" t="n"/>
      <c r="AM142" s="3" t="n"/>
      <c r="AN142" s="3" t="n"/>
      <c r="AT142" s="3" t="n"/>
      <c r="AU142" s="3" t="n"/>
      <c r="AV142" s="3" t="n"/>
      <c r="AW142" s="3" t="n"/>
      <c r="AX142" s="3" t="n"/>
      <c r="AY142" s="3" t="n"/>
    </row>
    <row r="143">
      <c r="A143" s="3" t="inlineStr">
        <is>
          <t>Parasect</t>
        </is>
      </c>
      <c r="B143" s="3" t="inlineStr">
        <is>
          <t>uncommon</t>
        </is>
      </c>
      <c r="C143" s="3" t="n">
        <v>62</v>
      </c>
      <c r="D143" s="3" t="n">
        <v>0.09</v>
      </c>
      <c r="E143" s="3" t="n">
        <v>0.13</v>
      </c>
      <c r="F143" s="3">
        <f>IF(B143="common", 4, IF(B143="uncommon", 3, IF(B143="rare", 0.73878, 1)))</f>
        <v/>
      </c>
      <c r="G143" s="3" t="n"/>
      <c r="H143" s="3" t="n"/>
      <c r="I143" s="3" t="n"/>
      <c r="J143" s="3" t="n"/>
      <c r="K143" s="3" t="n"/>
      <c r="L143" s="3" t="n"/>
      <c r="M143" s="3" t="n"/>
      <c r="N143" s="3" t="n"/>
      <c r="R143" s="3" t="n"/>
      <c r="S143" s="3" t="n"/>
      <c r="T143" s="3" t="n"/>
      <c r="U143" s="3" t="n"/>
      <c r="AA143">
        <f>E143 *1.88541666666666</f>
        <v/>
      </c>
      <c r="AB143" s="3">
        <f>1.88541666666666 * (E143 - AA143)^2</f>
        <v/>
      </c>
      <c r="AC143" s="3" t="n"/>
      <c r="AD143" s="3" t="n"/>
      <c r="AJ143" s="3" t="n"/>
      <c r="AK143" s="3" t="n"/>
      <c r="AL143" s="3" t="n"/>
      <c r="AM143" s="3" t="n"/>
      <c r="AN143" s="3" t="n"/>
      <c r="AT143" s="3" t="n"/>
      <c r="AU143" s="3" t="n"/>
      <c r="AV143" s="3" t="n"/>
      <c r="AW143" s="3" t="n"/>
      <c r="AX143" s="3" t="n"/>
      <c r="AY143" s="3" t="n"/>
    </row>
    <row r="144">
      <c r="A144" s="3" t="inlineStr">
        <is>
          <t>Persian</t>
        </is>
      </c>
      <c r="B144" s="3" t="inlineStr">
        <is>
          <t>uncommon</t>
        </is>
      </c>
      <c r="C144" s="3" t="n">
        <v>62</v>
      </c>
      <c r="D144" s="3" t="n">
        <v>0.05</v>
      </c>
      <c r="E144" s="3" t="n">
        <v>0.22</v>
      </c>
      <c r="F144" s="3">
        <f>IF(B144="common", 4, IF(B144="uncommon", 3, IF(B144="rare", 0.73878, 1)))</f>
        <v/>
      </c>
      <c r="G144" s="3" t="n"/>
      <c r="H144" s="3" t="n"/>
      <c r="I144" s="3" t="n"/>
      <c r="J144" s="3" t="n"/>
      <c r="K144" s="3" t="n"/>
      <c r="L144" s="3" t="n"/>
      <c r="M144" s="3" t="n"/>
      <c r="N144" s="3" t="n"/>
      <c r="R144" s="3" t="n"/>
      <c r="S144" s="3" t="n"/>
      <c r="T144" s="3" t="n"/>
      <c r="U144" s="3" t="n"/>
      <c r="AA144">
        <f>E144 *1.88541666666666</f>
        <v/>
      </c>
      <c r="AB144" s="3">
        <f>1.88541666666666 * (E144 - AA144)^2</f>
        <v/>
      </c>
      <c r="AC144" s="3" t="n"/>
      <c r="AD144" s="3" t="n"/>
      <c r="AJ144" s="3" t="n"/>
      <c r="AK144" s="3" t="n"/>
      <c r="AL144" s="3" t="n"/>
      <c r="AM144" s="3" t="n"/>
      <c r="AN144" s="3" t="n"/>
      <c r="AT144" s="3" t="n"/>
      <c r="AU144" s="3" t="n"/>
      <c r="AV144" s="3" t="n"/>
      <c r="AW144" s="3" t="n"/>
      <c r="AX144" s="3" t="n"/>
      <c r="AY144" s="3" t="n"/>
    </row>
    <row r="145">
      <c r="A145" s="3" t="inlineStr">
        <is>
          <t>Pidgeot</t>
        </is>
      </c>
      <c r="B145" s="3" t="inlineStr">
        <is>
          <t>uncommon</t>
        </is>
      </c>
      <c r="C145" s="3" t="n">
        <v>62</v>
      </c>
      <c r="D145" s="3" t="n">
        <v>0.1</v>
      </c>
      <c r="E145" s="3" t="n">
        <v>0.18</v>
      </c>
      <c r="F145" s="3">
        <f>IF(B145="common", 4, IF(B145="uncommon", 3, IF(B145="rare", 0.73878, 1)))</f>
        <v/>
      </c>
      <c r="G145" s="3" t="n"/>
      <c r="H145" s="3" t="n"/>
      <c r="I145" s="3" t="n"/>
      <c r="J145" s="3" t="n"/>
      <c r="K145" s="3" t="n"/>
      <c r="L145" s="3" t="n"/>
      <c r="M145" s="3" t="n"/>
      <c r="N145" s="3" t="n"/>
      <c r="R145" s="3" t="n"/>
      <c r="S145" s="3" t="n"/>
      <c r="T145" s="3" t="n"/>
      <c r="U145" s="3" t="n"/>
      <c r="AA145">
        <f>E145 *1.88541666666666</f>
        <v/>
      </c>
      <c r="AB145" s="3">
        <f>1.88541666666666 * (E145 - AA145)^2</f>
        <v/>
      </c>
      <c r="AC145" s="3" t="n"/>
      <c r="AD145" s="3" t="n"/>
      <c r="AJ145" s="3" t="n"/>
      <c r="AK145" s="3" t="n"/>
      <c r="AL145" s="3" t="n"/>
      <c r="AM145" s="3" t="n"/>
      <c r="AN145" s="3" t="n"/>
      <c r="AT145" s="3" t="n"/>
      <c r="AU145" s="3" t="n"/>
      <c r="AV145" s="3" t="n"/>
      <c r="AW145" s="3" t="n"/>
      <c r="AX145" s="3" t="n"/>
      <c r="AY145" s="3" t="n"/>
    </row>
    <row r="146">
      <c r="A146" s="3" t="inlineStr">
        <is>
          <t>Pidgeotto</t>
        </is>
      </c>
      <c r="B146" s="3" t="inlineStr">
        <is>
          <t>common</t>
        </is>
      </c>
      <c r="C146" s="3" t="n">
        <v>66</v>
      </c>
      <c r="D146" s="3" t="n">
        <v>0.28</v>
      </c>
      <c r="E146" s="3" t="n">
        <v>2.43</v>
      </c>
      <c r="F146" s="3">
        <f>IF(B146="common", 4, IF(B146="uncommon", 3, IF(B146="rare", 0.73878, 1)))</f>
        <v/>
      </c>
      <c r="G146" s="3" t="n"/>
      <c r="H146" s="3" t="n"/>
      <c r="I146" s="3" t="n"/>
      <c r="J146" s="3" t="n"/>
      <c r="K146" s="3" t="n"/>
      <c r="L146" s="3" t="n"/>
      <c r="M146" s="3" t="n"/>
      <c r="N146" s="3" t="n"/>
      <c r="R146" s="3" t="n"/>
      <c r="S146" s="3" t="n"/>
      <c r="T146" s="3" t="n"/>
      <c r="U146" s="3" t="n"/>
      <c r="AA146">
        <f>E146 *1.88541666666666</f>
        <v/>
      </c>
      <c r="AB146" s="3">
        <f>1.88541666666666 * (E146 - AA146)^2</f>
        <v/>
      </c>
      <c r="AC146" s="3" t="n"/>
      <c r="AD146" s="3" t="n"/>
      <c r="AJ146" s="3" t="n"/>
      <c r="AK146" s="3" t="n"/>
      <c r="AL146" s="3" t="n"/>
      <c r="AM146" s="3" t="n"/>
      <c r="AN146" s="3" t="n"/>
      <c r="AT146" s="3" t="n"/>
      <c r="AU146" s="3" t="n"/>
      <c r="AV146" s="3" t="n"/>
      <c r="AW146" s="3" t="n"/>
      <c r="AX146" s="3" t="n"/>
      <c r="AY146" s="3" t="n"/>
    </row>
    <row r="147">
      <c r="A147" s="3" t="inlineStr">
        <is>
          <t>Pidgey</t>
        </is>
      </c>
      <c r="B147" s="3" t="inlineStr">
        <is>
          <t>common</t>
        </is>
      </c>
      <c r="C147" s="3" t="n">
        <v>66</v>
      </c>
      <c r="D147" s="3" t="n">
        <v>0.14</v>
      </c>
      <c r="E147" s="3" t="n">
        <v>0.2</v>
      </c>
      <c r="F147" s="3">
        <f>IF(B147="common", 4, IF(B147="uncommon", 3, IF(B147="rare", 0.73878, 1)))</f>
        <v/>
      </c>
      <c r="G147" s="3" t="n"/>
      <c r="H147" s="3" t="n"/>
      <c r="I147" s="3" t="n"/>
      <c r="J147" s="3" t="n"/>
      <c r="K147" s="3" t="n"/>
      <c r="L147" s="3" t="n"/>
      <c r="M147" s="3" t="n"/>
      <c r="N147" s="3" t="n"/>
      <c r="R147" s="3" t="n"/>
      <c r="S147" s="3" t="n"/>
      <c r="T147" s="3" t="n"/>
      <c r="U147" s="3" t="n"/>
      <c r="AA147">
        <f>E147 *1.88541666666666</f>
        <v/>
      </c>
      <c r="AB147" s="3">
        <f>1.88541666666666 * (E147 - AA147)^2</f>
        <v/>
      </c>
      <c r="AC147" s="3" t="n"/>
      <c r="AD147" s="3" t="n"/>
      <c r="AJ147" s="3" t="n"/>
      <c r="AK147" s="3" t="n"/>
      <c r="AL147" s="3" t="n"/>
      <c r="AM147" s="3" t="n"/>
      <c r="AN147" s="3" t="n"/>
      <c r="AT147" s="3" t="n"/>
      <c r="AU147" s="3" t="n"/>
      <c r="AV147" s="3" t="n"/>
      <c r="AW147" s="3" t="n"/>
      <c r="AX147" s="3" t="n"/>
      <c r="AY147" s="3" t="n"/>
    </row>
    <row r="148">
      <c r="A148" s="3" t="inlineStr">
        <is>
          <t>Pikachu - 025/165</t>
        </is>
      </c>
      <c r="B148" s="3" t="inlineStr">
        <is>
          <t>common</t>
        </is>
      </c>
      <c r="C148" s="3" t="n">
        <v>66</v>
      </c>
      <c r="D148" s="3" t="n">
        <v>0.11</v>
      </c>
      <c r="E148" s="3" t="n">
        <v>0.25</v>
      </c>
      <c r="F148" s="3">
        <f>IF(B148="common", 4, IF(B148="uncommon", 3, IF(B148="rare", 0.73878, 1)))</f>
        <v/>
      </c>
      <c r="G148" s="3" t="n"/>
      <c r="H148" s="3" t="n"/>
      <c r="I148" s="3" t="n"/>
      <c r="J148" s="3" t="n"/>
      <c r="K148" s="3" t="n"/>
      <c r="L148" s="3" t="n"/>
      <c r="M148" s="3" t="n"/>
      <c r="N148" s="3" t="n"/>
      <c r="R148" s="3" t="n"/>
      <c r="S148" s="3" t="n"/>
      <c r="T148" s="3" t="n"/>
      <c r="U148" s="3" t="n"/>
      <c r="AA148">
        <f>E148 *1.88541666666666</f>
        <v/>
      </c>
      <c r="AB148" s="3">
        <f>1.88541666666666 * (E148 - AA148)^2</f>
        <v/>
      </c>
      <c r="AC148" s="3" t="n"/>
      <c r="AD148" s="3" t="n"/>
      <c r="AJ148" s="3" t="n"/>
      <c r="AK148" s="3" t="n"/>
      <c r="AL148" s="3" t="n"/>
      <c r="AM148" s="3" t="n"/>
      <c r="AN148" s="3" t="n"/>
      <c r="AT148" s="3" t="n"/>
      <c r="AU148" s="3" t="n"/>
      <c r="AV148" s="3" t="n"/>
      <c r="AW148" s="3" t="n"/>
      <c r="AX148" s="3" t="n"/>
      <c r="AY148" s="3" t="n"/>
    </row>
    <row r="149">
      <c r="A149" s="3" t="inlineStr">
        <is>
          <t>Pikachu - 173/165</t>
        </is>
      </c>
      <c r="B149" s="3" t="inlineStr">
        <is>
          <t>illustration rare</t>
        </is>
      </c>
      <c r="C149" s="3" t="n">
        <v>188</v>
      </c>
      <c r="D149" s="3" t="n">
        <v>33.66</v>
      </c>
      <c r="E149" s="3" t="n"/>
      <c r="F149" s="3">
        <f>IF(B149="common", 4, IF(B149="uncommon", 3, IF(B149="rare", 0.73878, 1)))</f>
        <v/>
      </c>
      <c r="G149" s="3" t="n"/>
      <c r="H149" s="3" t="n"/>
      <c r="I149" s="3" t="n"/>
      <c r="J149" s="3" t="n"/>
      <c r="K149" s="3" t="n"/>
      <c r="L149" s="3" t="n"/>
      <c r="M149" s="3" t="n"/>
      <c r="N149" s="3" t="n"/>
      <c r="R149" s="3" t="n"/>
      <c r="S149" s="3" t="n"/>
      <c r="T149" s="3" t="n"/>
      <c r="U149" s="3" t="n"/>
      <c r="AA149">
        <f>E149 *1.88541666666666</f>
        <v/>
      </c>
      <c r="AB149" s="3">
        <f>1.88541666666666 * (E149 - AA149)^2</f>
        <v/>
      </c>
      <c r="AC149" s="3" t="n"/>
      <c r="AD149" s="3" t="n"/>
      <c r="AJ149" s="3" t="n"/>
      <c r="AK149" s="3" t="n"/>
      <c r="AL149" s="3" t="n"/>
      <c r="AM149" s="3" t="n"/>
      <c r="AN149" s="3" t="n"/>
      <c r="AT149" s="3" t="n"/>
      <c r="AU149" s="3" t="n"/>
      <c r="AV149" s="3" t="n"/>
      <c r="AW149" s="3" t="n"/>
      <c r="AX149" s="3" t="n"/>
      <c r="AY149" s="3" t="n"/>
    </row>
    <row r="150">
      <c r="A150" s="3" t="inlineStr">
        <is>
          <t>Pinsir</t>
        </is>
      </c>
      <c r="B150" s="3" t="inlineStr">
        <is>
          <t>uncommon</t>
        </is>
      </c>
      <c r="C150" s="3" t="n">
        <v>62</v>
      </c>
      <c r="D150" s="3" t="n">
        <v>0.09</v>
      </c>
      <c r="E150" s="3" t="n">
        <v>0.84</v>
      </c>
      <c r="F150" s="3">
        <f>IF(B150="common", 4, IF(B150="uncommon", 3, IF(B150="rare", 0.73878, 1)))</f>
        <v/>
      </c>
      <c r="G150" s="3" t="n"/>
      <c r="H150" s="3" t="n"/>
      <c r="I150" s="3" t="n"/>
      <c r="J150" s="3" t="n"/>
      <c r="K150" s="3" t="n"/>
      <c r="L150" s="3" t="n"/>
      <c r="M150" s="3" t="n"/>
      <c r="N150" s="3" t="n"/>
      <c r="R150" s="3" t="n"/>
      <c r="S150" s="3" t="n"/>
      <c r="T150" s="3" t="n"/>
      <c r="U150" s="3" t="n"/>
      <c r="AA150">
        <f>E150 *1.88541666666666</f>
        <v/>
      </c>
      <c r="AB150" s="3">
        <f>1.88541666666666 * (E150 - AA150)^2</f>
        <v/>
      </c>
      <c r="AC150" s="3" t="n"/>
      <c r="AD150" s="3" t="n"/>
      <c r="AJ150" s="3" t="n"/>
      <c r="AK150" s="3" t="n"/>
      <c r="AL150" s="3" t="n"/>
      <c r="AM150" s="3" t="n"/>
      <c r="AN150" s="3" t="n"/>
      <c r="AT150" s="3" t="n"/>
      <c r="AU150" s="3" t="n"/>
      <c r="AV150" s="3" t="n"/>
      <c r="AW150" s="3" t="n"/>
      <c r="AX150" s="3" t="n"/>
      <c r="AY150" s="3" t="n"/>
    </row>
    <row r="151">
      <c r="A151" s="3" t="inlineStr">
        <is>
          <t>Poliwag</t>
        </is>
      </c>
      <c r="B151" s="3" t="inlineStr">
        <is>
          <t>common</t>
        </is>
      </c>
      <c r="C151" s="3" t="n">
        <v>66</v>
      </c>
      <c r="D151" s="3" t="n">
        <v>0.06</v>
      </c>
      <c r="E151" s="3" t="n">
        <v>0.16</v>
      </c>
      <c r="F151" s="3">
        <f>IF(B151="common", 4, IF(B151="uncommon", 3, IF(B151="rare", 0.73878, 1)))</f>
        <v/>
      </c>
      <c r="G151" s="3" t="n"/>
      <c r="H151" s="3" t="n"/>
      <c r="I151" s="3" t="n"/>
      <c r="J151" s="3" t="n"/>
      <c r="K151" s="3" t="n"/>
      <c r="L151" s="3" t="n"/>
      <c r="M151" s="3" t="n"/>
      <c r="N151" s="3" t="n"/>
      <c r="R151" s="3" t="n"/>
      <c r="S151" s="3" t="n"/>
      <c r="T151" s="3" t="n"/>
      <c r="U151" s="3" t="n"/>
      <c r="AA151">
        <f>E151 *1.88541666666666</f>
        <v/>
      </c>
      <c r="AB151" s="3">
        <f>1.88541666666666 * (E151 - AA151)^2</f>
        <v/>
      </c>
      <c r="AC151" s="3" t="n"/>
      <c r="AD151" s="3" t="n"/>
      <c r="AJ151" s="3" t="n"/>
      <c r="AK151" s="3" t="n"/>
      <c r="AL151" s="3" t="n"/>
      <c r="AM151" s="3" t="n"/>
      <c r="AN151" s="3" t="n"/>
      <c r="AT151" s="3" t="n"/>
      <c r="AU151" s="3" t="n"/>
      <c r="AV151" s="3" t="n"/>
      <c r="AW151" s="3" t="n"/>
      <c r="AX151" s="3" t="n"/>
      <c r="AY151" s="3" t="n"/>
    </row>
    <row r="152">
      <c r="A152" s="3" t="inlineStr">
        <is>
          <t>Poliwhirl - 061/165</t>
        </is>
      </c>
      <c r="B152" s="3" t="inlineStr">
        <is>
          <t>common</t>
        </is>
      </c>
      <c r="C152" s="3" t="n">
        <v>66</v>
      </c>
      <c r="D152" s="3" t="n">
        <v>0.14</v>
      </c>
      <c r="E152" s="3" t="n">
        <v>1.53</v>
      </c>
      <c r="F152" s="3">
        <f>IF(B152="common", 4, IF(B152="uncommon", 3, IF(B152="rare", 0.73878, 1)))</f>
        <v/>
      </c>
      <c r="G152" s="3" t="n"/>
      <c r="H152" s="3" t="n"/>
      <c r="I152" s="3" t="n"/>
      <c r="J152" s="3" t="n"/>
      <c r="K152" s="3" t="n"/>
      <c r="L152" s="3" t="n"/>
      <c r="M152" s="3" t="n"/>
      <c r="N152" s="3" t="n"/>
      <c r="R152" s="3" t="n"/>
      <c r="S152" s="3" t="n"/>
      <c r="T152" s="3" t="n"/>
      <c r="U152" s="3" t="n"/>
      <c r="AA152">
        <f>E152 *1.88541666666666</f>
        <v/>
      </c>
      <c r="AB152" s="3">
        <f>1.88541666666666 * (E152 - AA152)^2</f>
        <v/>
      </c>
      <c r="AC152" s="3" t="n"/>
      <c r="AD152" s="3" t="n"/>
      <c r="AJ152" s="3" t="n"/>
      <c r="AK152" s="3" t="n"/>
      <c r="AL152" s="3" t="n"/>
      <c r="AM152" s="3" t="n"/>
      <c r="AN152" s="3" t="n"/>
      <c r="AT152" s="3" t="n"/>
      <c r="AU152" s="3" t="n"/>
      <c r="AV152" s="3" t="n"/>
      <c r="AW152" s="3" t="n"/>
      <c r="AX152" s="3" t="n"/>
      <c r="AY152" s="3" t="n"/>
    </row>
    <row r="153">
      <c r="A153" s="3" t="inlineStr">
        <is>
          <t>Poliwhirl - 176/165</t>
        </is>
      </c>
      <c r="B153" s="3" t="inlineStr">
        <is>
          <t>illustration rare</t>
        </is>
      </c>
      <c r="C153" s="3" t="n">
        <v>188</v>
      </c>
      <c r="D153" s="3" t="n">
        <v>20.31</v>
      </c>
      <c r="E153" s="3" t="n"/>
      <c r="F153" s="3">
        <f>IF(B153="common", 4, IF(B153="uncommon", 3, IF(B153="rare", 0.73878, 1)))</f>
        <v/>
      </c>
      <c r="G153" s="3" t="n"/>
      <c r="H153" s="3" t="n"/>
      <c r="I153" s="3" t="n"/>
      <c r="J153" s="3" t="n"/>
      <c r="K153" s="3" t="n"/>
      <c r="L153" s="3" t="n"/>
      <c r="M153" s="3" t="n"/>
      <c r="N153" s="3" t="n"/>
      <c r="R153" s="3" t="n"/>
      <c r="S153" s="3" t="n"/>
      <c r="T153" s="3" t="n"/>
      <c r="U153" s="3" t="n"/>
      <c r="AA153">
        <f>E153 *1.88541666666666</f>
        <v/>
      </c>
      <c r="AB153" s="3">
        <f>1.88541666666666 * (E153 - AA153)^2</f>
        <v/>
      </c>
      <c r="AC153" s="3" t="n"/>
      <c r="AD153" s="3" t="n"/>
      <c r="AJ153" s="3" t="n"/>
      <c r="AK153" s="3" t="n"/>
      <c r="AL153" s="3" t="n"/>
      <c r="AM153" s="3" t="n"/>
      <c r="AN153" s="3" t="n"/>
      <c r="AT153" s="3" t="n"/>
      <c r="AU153" s="3" t="n"/>
      <c r="AV153" s="3" t="n"/>
      <c r="AW153" s="3" t="n"/>
      <c r="AX153" s="3" t="n"/>
      <c r="AY153" s="3" t="n"/>
    </row>
    <row r="154">
      <c r="A154" s="3" t="inlineStr">
        <is>
          <t>Poliwrath</t>
        </is>
      </c>
      <c r="B154" s="3" t="inlineStr">
        <is>
          <t>uncommon</t>
        </is>
      </c>
      <c r="C154" s="3" t="n">
        <v>62</v>
      </c>
      <c r="D154" s="3" t="n">
        <v>0.08</v>
      </c>
      <c r="E154" s="3" t="n">
        <v>0.23</v>
      </c>
      <c r="F154" s="3">
        <f>IF(B154="common", 4, IF(B154="uncommon", 3, IF(B154="rare", 0.73878, 1)))</f>
        <v/>
      </c>
      <c r="G154" s="3" t="n"/>
      <c r="H154" s="3" t="n"/>
      <c r="I154" s="3" t="n"/>
      <c r="J154" s="3" t="n"/>
      <c r="K154" s="3" t="n"/>
      <c r="L154" s="3" t="n"/>
      <c r="M154" s="3" t="n"/>
      <c r="N154" s="3" t="n"/>
      <c r="R154" s="3" t="n"/>
      <c r="S154" s="3" t="n"/>
      <c r="T154" s="3" t="n"/>
      <c r="U154" s="3" t="n"/>
      <c r="AA154">
        <f>E154 *1.88541666666666</f>
        <v/>
      </c>
      <c r="AB154" s="3">
        <f>1.88541666666666 * (E154 - AA154)^2</f>
        <v/>
      </c>
      <c r="AC154" s="3" t="n"/>
      <c r="AD154" s="3" t="n"/>
      <c r="AJ154" s="3" t="n"/>
      <c r="AK154" s="3" t="n"/>
      <c r="AL154" s="3" t="n"/>
      <c r="AM154" s="3" t="n"/>
      <c r="AN154" s="3" t="n"/>
      <c r="AT154" s="3" t="n"/>
      <c r="AU154" s="3" t="n"/>
      <c r="AV154" s="3" t="n"/>
      <c r="AW154" s="3" t="n"/>
      <c r="AX154" s="3" t="n"/>
      <c r="AY154" s="3" t="n"/>
    </row>
    <row r="155">
      <c r="A155" s="3" t="inlineStr">
        <is>
          <t>Ponyta</t>
        </is>
      </c>
      <c r="B155" s="3" t="inlineStr">
        <is>
          <t>common</t>
        </is>
      </c>
      <c r="C155" s="3" t="n">
        <v>66</v>
      </c>
      <c r="D155" s="3" t="n">
        <v>0.06</v>
      </c>
      <c r="E155" s="3" t="n">
        <v>0.18</v>
      </c>
      <c r="F155" s="3">
        <f>IF(B155="common", 4, IF(B155="uncommon", 3, IF(B155="rare", 0.73878, 1)))</f>
        <v/>
      </c>
      <c r="G155" s="3" t="n"/>
      <c r="H155" s="3" t="n"/>
      <c r="I155" s="3" t="n"/>
      <c r="J155" s="3" t="n"/>
      <c r="K155" s="3" t="n"/>
      <c r="L155" s="3" t="n"/>
      <c r="M155" s="3" t="n"/>
      <c r="N155" s="3" t="n"/>
      <c r="R155" s="3" t="n"/>
      <c r="S155" s="3" t="n"/>
      <c r="T155" s="3" t="n"/>
      <c r="U155" s="3" t="n"/>
      <c r="AA155">
        <f>E155 *1.88541666666666</f>
        <v/>
      </c>
      <c r="AB155" s="3">
        <f>1.88541666666666 * (E155 - AA155)^2</f>
        <v/>
      </c>
      <c r="AC155" s="3" t="n"/>
      <c r="AD155" s="3" t="n"/>
      <c r="AJ155" s="3" t="n"/>
      <c r="AK155" s="3" t="n"/>
      <c r="AL155" s="3" t="n"/>
      <c r="AM155" s="3" t="n"/>
      <c r="AN155" s="3" t="n"/>
      <c r="AT155" s="3" t="n"/>
      <c r="AU155" s="3" t="n"/>
      <c r="AV155" s="3" t="n"/>
      <c r="AW155" s="3" t="n"/>
      <c r="AX155" s="3" t="n"/>
      <c r="AY155" s="3" t="n"/>
    </row>
    <row r="156">
      <c r="A156" s="3" t="inlineStr">
        <is>
          <t>Porygon</t>
        </is>
      </c>
      <c r="B156" s="3" t="inlineStr">
        <is>
          <t>common</t>
        </is>
      </c>
      <c r="C156" s="3" t="n">
        <v>66</v>
      </c>
      <c r="D156" s="3" t="n">
        <v>0.03</v>
      </c>
      <c r="E156" s="3" t="n">
        <v>0.17</v>
      </c>
      <c r="F156" s="3">
        <f>IF(B156="common", 4, IF(B156="uncommon", 3, IF(B156="rare", 0.73878, 1)))</f>
        <v/>
      </c>
      <c r="G156" s="3" t="n"/>
      <c r="H156" s="3" t="n"/>
      <c r="I156" s="3" t="n"/>
      <c r="J156" s="3" t="n"/>
      <c r="K156" s="3" t="n"/>
      <c r="L156" s="3" t="n"/>
      <c r="M156" s="3" t="n"/>
      <c r="N156" s="3" t="n"/>
      <c r="R156" s="3" t="n"/>
      <c r="S156" s="3" t="n"/>
      <c r="T156" s="3" t="n"/>
      <c r="U156" s="3" t="n"/>
      <c r="AA156">
        <f>E156 *1.88541666666666</f>
        <v/>
      </c>
      <c r="AB156" s="3">
        <f>1.88541666666666 * (E156 - AA156)^2</f>
        <v/>
      </c>
      <c r="AC156" s="3" t="n"/>
      <c r="AD156" s="3" t="n"/>
      <c r="AJ156" s="3" t="n"/>
      <c r="AK156" s="3" t="n"/>
      <c r="AL156" s="3" t="n"/>
      <c r="AM156" s="3" t="n"/>
      <c r="AN156" s="3" t="n"/>
      <c r="AT156" s="3" t="n"/>
      <c r="AU156" s="3" t="n"/>
      <c r="AV156" s="3" t="n"/>
      <c r="AW156" s="3" t="n"/>
      <c r="AX156" s="3" t="n"/>
      <c r="AY156" s="3" t="n"/>
    </row>
    <row r="157">
      <c r="A157" s="3" t="inlineStr">
        <is>
          <t>Primeape</t>
        </is>
      </c>
      <c r="B157" s="3" t="inlineStr">
        <is>
          <t>uncommon</t>
        </is>
      </c>
      <c r="C157" s="3" t="n">
        <v>62</v>
      </c>
      <c r="D157" s="3" t="n">
        <v>0.07000000000000001</v>
      </c>
      <c r="E157" s="3" t="n">
        <v>0.13</v>
      </c>
      <c r="F157" s="3">
        <f>IF(B157="common", 4, IF(B157="uncommon", 3, IF(B157="rare", 0.73878, 1)))</f>
        <v/>
      </c>
      <c r="G157" s="3" t="n"/>
      <c r="H157" s="3" t="n"/>
      <c r="I157" s="3" t="n"/>
      <c r="J157" s="3" t="n"/>
      <c r="K157" s="3" t="n"/>
      <c r="L157" s="3" t="n"/>
      <c r="M157" s="3" t="n"/>
      <c r="N157" s="3" t="n"/>
      <c r="R157" s="3" t="n"/>
      <c r="S157" s="3" t="n"/>
      <c r="T157" s="3" t="n"/>
      <c r="U157" s="3" t="n"/>
      <c r="AA157">
        <f>E157 *1.88541666666666</f>
        <v/>
      </c>
      <c r="AB157" s="3">
        <f>1.88541666666666 * (E157 - AA157)^2</f>
        <v/>
      </c>
      <c r="AC157" s="3" t="n"/>
      <c r="AD157" s="3" t="n"/>
      <c r="AJ157" s="3" t="n"/>
      <c r="AK157" s="3" t="n"/>
      <c r="AL157" s="3" t="n"/>
      <c r="AM157" s="3" t="n"/>
      <c r="AN157" s="3" t="n"/>
      <c r="AT157" s="3" t="n"/>
      <c r="AU157" s="3" t="n"/>
      <c r="AV157" s="3" t="n"/>
      <c r="AW157" s="3" t="n"/>
      <c r="AX157" s="3" t="n"/>
      <c r="AY157" s="3" t="n"/>
    </row>
    <row r="158">
      <c r="A158" s="3" t="inlineStr">
        <is>
          <t>Protective Goggles</t>
        </is>
      </c>
      <c r="B158" s="3" t="inlineStr">
        <is>
          <t>uncommon</t>
        </is>
      </c>
      <c r="C158" s="3" t="n">
        <v>62</v>
      </c>
      <c r="D158" s="3" t="n">
        <v>0.14</v>
      </c>
      <c r="E158" s="3" t="n">
        <v>0.8100000000000001</v>
      </c>
      <c r="F158" s="3">
        <f>IF(B158="common", 4, IF(B158="uncommon", 3, IF(B158="rare", 0.73878, 1)))</f>
        <v/>
      </c>
      <c r="G158" s="3" t="n"/>
      <c r="H158" s="3" t="n"/>
      <c r="I158" s="3" t="n"/>
      <c r="J158" s="3" t="n"/>
      <c r="K158" s="3" t="n"/>
      <c r="L158" s="3" t="n"/>
      <c r="M158" s="3" t="n"/>
      <c r="N158" s="3" t="n"/>
      <c r="R158" s="3" t="n"/>
      <c r="S158" s="3" t="n"/>
      <c r="T158" s="3" t="n"/>
      <c r="U158" s="3" t="n"/>
      <c r="AA158">
        <f>E158 *1.88541666666666</f>
        <v/>
      </c>
      <c r="AB158" s="3">
        <f>1.88541666666666 * (E158 - AA158)^2</f>
        <v/>
      </c>
      <c r="AC158" s="3" t="n"/>
      <c r="AD158" s="3" t="n"/>
      <c r="AJ158" s="3" t="n"/>
      <c r="AK158" s="3" t="n"/>
      <c r="AL158" s="3" t="n"/>
      <c r="AM158" s="3" t="n"/>
      <c r="AN158" s="3" t="n"/>
      <c r="AT158" s="3" t="n"/>
      <c r="AU158" s="3" t="n"/>
      <c r="AV158" s="3" t="n"/>
      <c r="AW158" s="3" t="n"/>
      <c r="AX158" s="3" t="n"/>
      <c r="AY158" s="3" t="n"/>
    </row>
    <row r="159">
      <c r="A159" s="3" t="inlineStr">
        <is>
          <t>Psyduck - 054/165</t>
        </is>
      </c>
      <c r="B159" s="3" t="inlineStr">
        <is>
          <t>common</t>
        </is>
      </c>
      <c r="C159" s="3" t="n">
        <v>66</v>
      </c>
      <c r="D159" s="3" t="n">
        <v>0.09</v>
      </c>
      <c r="E159" s="3" t="n">
        <v>0.22</v>
      </c>
      <c r="F159" s="3">
        <f>IF(B159="common", 4, IF(B159="uncommon", 3, IF(B159="rare", 0.73878, 1)))</f>
        <v/>
      </c>
      <c r="G159" s="3" t="n"/>
      <c r="H159" s="3" t="n"/>
      <c r="I159" s="3" t="n"/>
      <c r="J159" s="3" t="n"/>
      <c r="K159" s="3" t="n"/>
      <c r="L159" s="3" t="n"/>
      <c r="M159" s="3" t="n"/>
      <c r="N159" s="3" t="n"/>
      <c r="R159" s="3" t="n"/>
      <c r="S159" s="3" t="n"/>
      <c r="T159" s="3" t="n"/>
      <c r="U159" s="3" t="n"/>
      <c r="AA159">
        <f>E159 *1.88541666666666</f>
        <v/>
      </c>
      <c r="AB159" s="3">
        <f>1.88541666666666 * (E159 - AA159)^2</f>
        <v/>
      </c>
      <c r="AC159" s="3" t="n"/>
      <c r="AD159" s="3" t="n"/>
      <c r="AJ159" s="3" t="n"/>
      <c r="AK159" s="3" t="n"/>
      <c r="AL159" s="3" t="n"/>
      <c r="AM159" s="3" t="n"/>
      <c r="AN159" s="3" t="n"/>
      <c r="AT159" s="3" t="n"/>
      <c r="AU159" s="3" t="n"/>
      <c r="AV159" s="3" t="n"/>
      <c r="AW159" s="3" t="n"/>
      <c r="AX159" s="3" t="n"/>
      <c r="AY159" s="3" t="n"/>
    </row>
    <row r="160">
      <c r="A160" s="3" t="inlineStr">
        <is>
          <t>Psyduck - 175/165</t>
        </is>
      </c>
      <c r="B160" s="3" t="inlineStr">
        <is>
          <t>illustration rare</t>
        </is>
      </c>
      <c r="C160" s="3" t="n">
        <v>188</v>
      </c>
      <c r="D160" s="3" t="n">
        <v>20.5</v>
      </c>
      <c r="E160" s="3" t="n"/>
      <c r="F160" s="3">
        <f>IF(B160="common", 4, IF(B160="uncommon", 3, IF(B160="rare", 0.73878, 1)))</f>
        <v/>
      </c>
      <c r="G160" s="3" t="n"/>
      <c r="H160" s="3" t="n"/>
      <c r="I160" s="3" t="n"/>
      <c r="J160" s="3" t="n"/>
      <c r="K160" s="3" t="n"/>
      <c r="L160" s="3" t="n"/>
      <c r="M160" s="3" t="n"/>
      <c r="N160" s="3" t="n"/>
      <c r="R160" s="3" t="n"/>
      <c r="S160" s="3" t="n"/>
      <c r="T160" s="3" t="n"/>
      <c r="U160" s="3" t="n"/>
      <c r="AA160">
        <f>E160 *1.88541666666666</f>
        <v/>
      </c>
      <c r="AB160" s="3">
        <f>1.88541666666666 * (E160 - AA160)^2</f>
        <v/>
      </c>
      <c r="AC160" s="3" t="n"/>
      <c r="AD160" s="3" t="n"/>
      <c r="AJ160" s="3" t="n"/>
      <c r="AK160" s="3" t="n"/>
      <c r="AL160" s="3" t="n"/>
      <c r="AM160" s="3" t="n"/>
      <c r="AN160" s="3" t="n"/>
      <c r="AT160" s="3" t="n"/>
      <c r="AU160" s="3" t="n"/>
      <c r="AV160" s="3" t="n"/>
      <c r="AW160" s="3" t="n"/>
      <c r="AX160" s="3" t="n"/>
      <c r="AY160" s="3" t="n"/>
    </row>
    <row r="161">
      <c r="A161" s="3" t="inlineStr">
        <is>
          <t>Raichu</t>
        </is>
      </c>
      <c r="B161" s="3" t="inlineStr">
        <is>
          <t>rare</t>
        </is>
      </c>
      <c r="C161" s="3" t="n">
        <v>26</v>
      </c>
      <c r="D161" s="3" t="n">
        <v>0.13</v>
      </c>
      <c r="E161" s="3" t="n">
        <v>0.95</v>
      </c>
      <c r="F161" s="3">
        <f>IF(B161="common", 4, IF(B161="uncommon", 3, IF(B161="rare", 0.73878, 1)))</f>
        <v/>
      </c>
      <c r="G161" s="3" t="n"/>
      <c r="H161" s="3" t="n"/>
      <c r="I161" s="3" t="n"/>
      <c r="J161" s="3" t="n"/>
      <c r="K161" s="3" t="n"/>
      <c r="L161" s="3" t="n"/>
      <c r="M161" s="3" t="n"/>
      <c r="N161" s="3" t="n"/>
      <c r="R161" s="3" t="n"/>
      <c r="S161" s="3" t="n"/>
      <c r="T161" s="3" t="n"/>
      <c r="U161" s="3" t="n"/>
      <c r="AA161">
        <f>E161 *1.88541666666666</f>
        <v/>
      </c>
      <c r="AB161" s="3">
        <f>1.88541666666666 * (E161 - AA161)^2</f>
        <v/>
      </c>
      <c r="AC161" s="3" t="n"/>
      <c r="AD161" s="3" t="n"/>
      <c r="AJ161" s="3" t="n"/>
      <c r="AK161" s="3" t="n"/>
      <c r="AL161" s="3" t="n"/>
      <c r="AM161" s="3" t="n"/>
      <c r="AN161" s="3" t="n"/>
      <c r="AT161" s="3" t="n"/>
      <c r="AU161" s="3" t="n"/>
      <c r="AV161" s="3" t="n"/>
      <c r="AW161" s="3" t="n"/>
      <c r="AX161" s="3" t="n"/>
      <c r="AY161" s="3" t="n"/>
    </row>
    <row r="162">
      <c r="A162" s="3" t="inlineStr">
        <is>
          <t>Rapidash</t>
        </is>
      </c>
      <c r="B162" s="3" t="inlineStr">
        <is>
          <t>uncommon</t>
        </is>
      </c>
      <c r="C162" s="3" t="n">
        <v>62</v>
      </c>
      <c r="D162" s="3" t="n">
        <v>0.1</v>
      </c>
      <c r="E162" s="3" t="n">
        <v>0.22</v>
      </c>
      <c r="F162" s="3">
        <f>IF(B162="common", 4, IF(B162="uncommon", 3, IF(B162="rare", 0.73878, 1)))</f>
        <v/>
      </c>
      <c r="G162" s="3" t="n"/>
      <c r="H162" s="3" t="n"/>
      <c r="I162" s="3" t="n"/>
      <c r="J162" s="3" t="n"/>
      <c r="K162" s="3" t="n"/>
      <c r="L162" s="3" t="n"/>
      <c r="M162" s="3" t="n"/>
      <c r="N162" s="3" t="n"/>
      <c r="R162" s="3" t="n"/>
      <c r="S162" s="3" t="n"/>
      <c r="T162" s="3" t="n"/>
      <c r="U162" s="3" t="n"/>
      <c r="AA162">
        <f>E162 *1.88541666666666</f>
        <v/>
      </c>
      <c r="AB162" s="3">
        <f>1.88541666666666 * (E162 - AA162)^2</f>
        <v/>
      </c>
      <c r="AC162" s="3" t="n"/>
      <c r="AD162" s="3" t="n"/>
      <c r="AJ162" s="3" t="n"/>
      <c r="AK162" s="3" t="n"/>
      <c r="AL162" s="3" t="n"/>
      <c r="AM162" s="3" t="n"/>
      <c r="AN162" s="3" t="n"/>
      <c r="AT162" s="3" t="n"/>
      <c r="AU162" s="3" t="n"/>
      <c r="AV162" s="3" t="n"/>
      <c r="AW162" s="3" t="n"/>
      <c r="AX162" s="3" t="n"/>
      <c r="AY162" s="3" t="n"/>
    </row>
    <row r="163">
      <c r="A163" s="3" t="inlineStr">
        <is>
          <t>Raticate</t>
        </is>
      </c>
      <c r="B163" s="3" t="inlineStr">
        <is>
          <t>uncommon</t>
        </is>
      </c>
      <c r="C163" s="3" t="n">
        <v>62</v>
      </c>
      <c r="D163" s="3" t="n">
        <v>0.06</v>
      </c>
      <c r="E163" s="3" t="n">
        <v>0.19</v>
      </c>
      <c r="F163" s="3">
        <f>IF(B163="common", 4, IF(B163="uncommon", 3, IF(B163="rare", 0.73878, 1)))</f>
        <v/>
      </c>
      <c r="G163" s="3" t="n"/>
      <c r="H163" s="3" t="n"/>
      <c r="I163" s="3" t="n"/>
      <c r="J163" s="3" t="n"/>
      <c r="K163" s="3" t="n"/>
      <c r="L163" s="3" t="n"/>
      <c r="M163" s="3" t="n"/>
      <c r="N163" s="3" t="n"/>
      <c r="R163" s="3" t="n"/>
      <c r="S163" s="3" t="n"/>
      <c r="T163" s="3" t="n"/>
      <c r="U163" s="3" t="n"/>
      <c r="AA163">
        <f>E163 *1.88541666666666</f>
        <v/>
      </c>
      <c r="AB163" s="3">
        <f>1.88541666666666 * (E163 - AA163)^2</f>
        <v/>
      </c>
      <c r="AC163" s="3" t="n"/>
      <c r="AD163" s="3" t="n"/>
      <c r="AJ163" s="3" t="n"/>
      <c r="AK163" s="3" t="n"/>
      <c r="AL163" s="3" t="n"/>
      <c r="AM163" s="3" t="n"/>
      <c r="AN163" s="3" t="n"/>
      <c r="AT163" s="3" t="n"/>
      <c r="AU163" s="3" t="n"/>
      <c r="AV163" s="3" t="n"/>
      <c r="AW163" s="3" t="n"/>
      <c r="AX163" s="3" t="n"/>
      <c r="AY163" s="3" t="n"/>
    </row>
    <row r="164">
      <c r="A164" s="3" t="inlineStr">
        <is>
          <t>Rattata</t>
        </is>
      </c>
      <c r="B164" s="3" t="inlineStr">
        <is>
          <t>common</t>
        </is>
      </c>
      <c r="C164" s="3" t="n">
        <v>66</v>
      </c>
      <c r="D164" s="3" t="n">
        <v>0.07000000000000001</v>
      </c>
      <c r="E164" s="3" t="n">
        <v>0.17</v>
      </c>
      <c r="F164" s="3">
        <f>IF(B164="common", 4, IF(B164="uncommon", 3, IF(B164="rare", 0.73878, 1)))</f>
        <v/>
      </c>
      <c r="G164" s="3" t="n"/>
      <c r="H164" s="3" t="n"/>
      <c r="I164" s="3" t="n"/>
      <c r="J164" s="3" t="n"/>
      <c r="K164" s="3" t="n"/>
      <c r="L164" s="3" t="n"/>
      <c r="M164" s="3" t="n"/>
      <c r="N164" s="3" t="n"/>
      <c r="R164" s="3" t="n"/>
      <c r="S164" s="3" t="n"/>
      <c r="T164" s="3" t="n"/>
      <c r="U164" s="3" t="n"/>
      <c r="AA164">
        <f>E164 *1.88541666666666</f>
        <v/>
      </c>
      <c r="AB164" s="3">
        <f>1.88541666666666 * (E164 - AA164)^2</f>
        <v/>
      </c>
      <c r="AC164" s="3" t="n"/>
      <c r="AD164" s="3" t="n"/>
      <c r="AJ164" s="3" t="n"/>
      <c r="AK164" s="3" t="n"/>
      <c r="AL164" s="3" t="n"/>
      <c r="AM164" s="3" t="n"/>
      <c r="AN164" s="3" t="n"/>
      <c r="AT164" s="3" t="n"/>
      <c r="AU164" s="3" t="n"/>
      <c r="AV164" s="3" t="n"/>
      <c r="AW164" s="3" t="n"/>
      <c r="AX164" s="3" t="n"/>
      <c r="AY164" s="3" t="n"/>
    </row>
    <row r="165">
      <c r="A165" s="3" t="inlineStr">
        <is>
          <t>Rhydon</t>
        </is>
      </c>
      <c r="B165" s="3" t="inlineStr">
        <is>
          <t>uncommon</t>
        </is>
      </c>
      <c r="C165" s="3" t="n">
        <v>62</v>
      </c>
      <c r="D165" s="3" t="n">
        <v>0.1</v>
      </c>
      <c r="E165" s="3" t="n">
        <v>0.15</v>
      </c>
      <c r="F165" s="3">
        <f>IF(B165="common", 4, IF(B165="uncommon", 3, IF(B165="rare", 0.73878, 1)))</f>
        <v/>
      </c>
      <c r="G165" s="3" t="n"/>
      <c r="H165" s="3" t="n"/>
      <c r="I165" s="3" t="n"/>
      <c r="J165" s="3" t="n"/>
      <c r="K165" s="3" t="n"/>
      <c r="L165" s="3" t="n"/>
      <c r="M165" s="3" t="n"/>
      <c r="N165" s="3" t="n"/>
      <c r="R165" s="3" t="n"/>
      <c r="S165" s="3" t="n"/>
      <c r="T165" s="3" t="n"/>
      <c r="U165" s="3" t="n"/>
      <c r="AA165">
        <f>E165 *1.88541666666666</f>
        <v/>
      </c>
      <c r="AB165" s="3">
        <f>1.88541666666666 * (E165 - AA165)^2</f>
        <v/>
      </c>
      <c r="AC165" s="3" t="n"/>
      <c r="AD165" s="3" t="n"/>
      <c r="AJ165" s="3" t="n"/>
      <c r="AK165" s="3" t="n"/>
      <c r="AL165" s="3" t="n"/>
      <c r="AM165" s="3" t="n"/>
      <c r="AN165" s="3" t="n"/>
      <c r="AT165" s="3" t="n"/>
      <c r="AU165" s="3" t="n"/>
      <c r="AV165" s="3" t="n"/>
      <c r="AW165" s="3" t="n"/>
      <c r="AX165" s="3" t="n"/>
      <c r="AY165" s="3" t="n"/>
    </row>
    <row r="166">
      <c r="A166" s="3" t="inlineStr">
        <is>
          <t>Rhyhorn</t>
        </is>
      </c>
      <c r="B166" s="3" t="inlineStr">
        <is>
          <t>common</t>
        </is>
      </c>
      <c r="C166" s="3" t="n">
        <v>66</v>
      </c>
      <c r="D166" s="3" t="n">
        <v>0.07000000000000001</v>
      </c>
      <c r="E166" s="3" t="n">
        <v>0.15</v>
      </c>
      <c r="F166" s="3">
        <f>IF(B166="common", 4, IF(B166="uncommon", 3, IF(B166="rare", 0.73878, 1)))</f>
        <v/>
      </c>
      <c r="G166" s="3" t="n"/>
      <c r="H166" s="3" t="n"/>
      <c r="I166" s="3" t="n"/>
      <c r="J166" s="3" t="n"/>
      <c r="K166" s="3" t="n"/>
      <c r="L166" s="3" t="n"/>
      <c r="M166" s="3" t="n"/>
      <c r="N166" s="3" t="n"/>
      <c r="R166" s="3" t="n"/>
      <c r="S166" s="3" t="n"/>
      <c r="T166" s="3" t="n"/>
      <c r="U166" s="3" t="n"/>
      <c r="AA166">
        <f>E166 *1.88541666666666</f>
        <v/>
      </c>
      <c r="AB166" s="3">
        <f>1.88541666666666 * (E166 - AA166)^2</f>
        <v/>
      </c>
      <c r="AC166" s="3" t="n"/>
      <c r="AD166" s="3" t="n"/>
      <c r="AJ166" s="3" t="n"/>
      <c r="AK166" s="3" t="n"/>
      <c r="AL166" s="3" t="n"/>
      <c r="AM166" s="3" t="n"/>
      <c r="AN166" s="3" t="n"/>
      <c r="AT166" s="3" t="n"/>
      <c r="AU166" s="3" t="n"/>
      <c r="AV166" s="3" t="n"/>
      <c r="AW166" s="3" t="n"/>
      <c r="AX166" s="3" t="n"/>
      <c r="AY166" s="3" t="n"/>
    </row>
    <row r="167">
      <c r="A167" s="3" t="inlineStr">
        <is>
          <t>Rigid Band</t>
        </is>
      </c>
      <c r="B167" s="3" t="inlineStr">
        <is>
          <t>uncommon</t>
        </is>
      </c>
      <c r="C167" s="3" t="n">
        <v>62</v>
      </c>
      <c r="D167" s="3" t="n">
        <v>0.1</v>
      </c>
      <c r="E167" s="3" t="n">
        <v>1.13</v>
      </c>
      <c r="F167" s="3">
        <f>IF(B167="common", 4, IF(B167="uncommon", 3, IF(B167="rare", 0.73878, 1)))</f>
        <v/>
      </c>
      <c r="G167" s="3" t="n"/>
      <c r="H167" s="3" t="n"/>
      <c r="I167" s="3" t="n"/>
      <c r="J167" s="3" t="n"/>
      <c r="K167" s="3" t="n"/>
      <c r="L167" s="3" t="n"/>
      <c r="M167" s="3" t="n"/>
      <c r="N167" s="3" t="n"/>
      <c r="R167" s="3" t="n"/>
      <c r="S167" s="3" t="n"/>
      <c r="T167" s="3" t="n"/>
      <c r="U167" s="3" t="n"/>
      <c r="AA167">
        <f>E167 *1.88541666666666</f>
        <v/>
      </c>
      <c r="AB167" s="3">
        <f>1.88541666666666 * (E167 - AA167)^2</f>
        <v/>
      </c>
      <c r="AC167" s="3" t="n"/>
      <c r="AD167" s="3" t="n"/>
      <c r="AJ167" s="3" t="n"/>
      <c r="AK167" s="3" t="n"/>
      <c r="AL167" s="3" t="n"/>
      <c r="AM167" s="3" t="n"/>
      <c r="AN167" s="3" t="n"/>
      <c r="AT167" s="3" t="n"/>
      <c r="AU167" s="3" t="n"/>
      <c r="AV167" s="3" t="n"/>
      <c r="AW167" s="3" t="n"/>
      <c r="AX167" s="3" t="n"/>
      <c r="AY167" s="3" t="n"/>
    </row>
    <row r="168">
      <c r="A168" s="3" t="inlineStr">
        <is>
          <t>Sandshrew</t>
        </is>
      </c>
      <c r="B168" s="3" t="inlineStr">
        <is>
          <t>common</t>
        </is>
      </c>
      <c r="C168" s="3" t="n">
        <v>66</v>
      </c>
      <c r="D168" s="3" t="n">
        <v>0.08</v>
      </c>
      <c r="E168" s="3" t="n">
        <v>0.19</v>
      </c>
      <c r="F168" s="3">
        <f>IF(B168="common", 4, IF(B168="uncommon", 3, IF(B168="rare", 0.73878, 1)))</f>
        <v/>
      </c>
      <c r="G168" s="3" t="n"/>
      <c r="H168" s="3" t="n"/>
      <c r="I168" s="3" t="n"/>
      <c r="J168" s="3" t="n"/>
      <c r="K168" s="3" t="n"/>
      <c r="L168" s="3" t="n"/>
      <c r="M168" s="3" t="n"/>
      <c r="N168" s="3" t="n"/>
      <c r="R168" s="3" t="n"/>
      <c r="S168" s="3" t="n"/>
      <c r="T168" s="3" t="n"/>
      <c r="U168" s="3" t="n"/>
      <c r="AA168">
        <f>E168 *1.88541666666666</f>
        <v/>
      </c>
      <c r="AB168" s="3">
        <f>1.88541666666666 * (E168 - AA168)^2</f>
        <v/>
      </c>
      <c r="AC168" s="3" t="n"/>
      <c r="AD168" s="3" t="n"/>
      <c r="AJ168" s="3" t="n"/>
      <c r="AK168" s="3" t="n"/>
      <c r="AL168" s="3" t="n"/>
      <c r="AM168" s="3" t="n"/>
      <c r="AN168" s="3" t="n"/>
      <c r="AT168" s="3" t="n"/>
      <c r="AU168" s="3" t="n"/>
      <c r="AV168" s="3" t="n"/>
      <c r="AW168" s="3" t="n"/>
      <c r="AX168" s="3" t="n"/>
      <c r="AY168" s="3" t="n"/>
    </row>
    <row r="169">
      <c r="A169" s="3" t="inlineStr">
        <is>
          <t>Sandslash</t>
        </is>
      </c>
      <c r="B169" s="3" t="inlineStr">
        <is>
          <t>uncommon</t>
        </is>
      </c>
      <c r="C169" s="3" t="n">
        <v>62</v>
      </c>
      <c r="D169" s="3" t="n">
        <v>0.08</v>
      </c>
      <c r="E169" s="3" t="n">
        <v>0.19</v>
      </c>
      <c r="F169" s="3">
        <f>IF(B169="common", 4, IF(B169="uncommon", 3, IF(B169="rare", 0.73878, 1)))</f>
        <v/>
      </c>
      <c r="G169" s="3" t="n"/>
      <c r="H169" s="3" t="n"/>
      <c r="I169" s="3" t="n"/>
      <c r="J169" s="3" t="n"/>
      <c r="K169" s="3" t="n"/>
      <c r="L169" s="3" t="n"/>
      <c r="M169" s="3" t="n"/>
      <c r="N169" s="3" t="n"/>
      <c r="R169" s="3" t="n"/>
      <c r="S169" s="3" t="n"/>
      <c r="T169" s="3" t="n"/>
      <c r="U169" s="3" t="n"/>
      <c r="AA169">
        <f>E169 *1.88541666666666</f>
        <v/>
      </c>
      <c r="AB169" s="3">
        <f>1.88541666666666 * (E169 - AA169)^2</f>
        <v/>
      </c>
      <c r="AC169" s="3" t="n"/>
      <c r="AD169" s="3" t="n"/>
      <c r="AJ169" s="3" t="n"/>
      <c r="AK169" s="3" t="n"/>
      <c r="AL169" s="3" t="n"/>
      <c r="AM169" s="3" t="n"/>
      <c r="AN169" s="3" t="n"/>
      <c r="AT169" s="3" t="n"/>
      <c r="AU169" s="3" t="n"/>
      <c r="AV169" s="3" t="n"/>
      <c r="AW169" s="3" t="n"/>
      <c r="AX169" s="3" t="n"/>
      <c r="AY169" s="3" t="n"/>
    </row>
    <row r="170">
      <c r="A170" s="3" t="inlineStr">
        <is>
          <t>Scyther</t>
        </is>
      </c>
      <c r="B170" s="3" t="inlineStr">
        <is>
          <t>uncommon</t>
        </is>
      </c>
      <c r="C170" s="3" t="n">
        <v>62</v>
      </c>
      <c r="D170" s="3" t="n">
        <v>0.11</v>
      </c>
      <c r="E170" s="3" t="n">
        <v>2.07</v>
      </c>
      <c r="F170" s="3">
        <f>IF(B170="common", 4, IF(B170="uncommon", 3, IF(B170="rare", 0.73878, 1)))</f>
        <v/>
      </c>
      <c r="G170" s="3" t="n"/>
      <c r="H170" s="3" t="n"/>
      <c r="I170" s="3" t="n"/>
      <c r="J170" s="3" t="n"/>
      <c r="K170" s="3" t="n"/>
      <c r="L170" s="3" t="n"/>
      <c r="M170" s="3" t="n"/>
      <c r="N170" s="3" t="n"/>
      <c r="R170" s="3" t="n"/>
      <c r="S170" s="3" t="n"/>
      <c r="T170" s="3" t="n"/>
      <c r="U170" s="3" t="n"/>
      <c r="AA170">
        <f>E170 *1.88541666666666</f>
        <v/>
      </c>
      <c r="AB170" s="3">
        <f>1.88541666666666 * (E170 - AA170)^2</f>
        <v/>
      </c>
      <c r="AC170" s="3" t="n"/>
      <c r="AD170" s="3" t="n"/>
      <c r="AJ170" s="3" t="n"/>
      <c r="AK170" s="3" t="n"/>
      <c r="AL170" s="3" t="n"/>
      <c r="AM170" s="3" t="n"/>
      <c r="AN170" s="3" t="n"/>
      <c r="AT170" s="3" t="n"/>
      <c r="AU170" s="3" t="n"/>
      <c r="AV170" s="3" t="n"/>
      <c r="AW170" s="3" t="n"/>
      <c r="AX170" s="3" t="n"/>
      <c r="AY170" s="3" t="n"/>
    </row>
    <row r="171">
      <c r="A171" s="3" t="inlineStr">
        <is>
          <t>Seadra</t>
        </is>
      </c>
      <c r="B171" s="3" t="inlineStr">
        <is>
          <t>uncommon</t>
        </is>
      </c>
      <c r="C171" s="3" t="n">
        <v>62</v>
      </c>
      <c r="D171" s="3" t="n">
        <v>0.07000000000000001</v>
      </c>
      <c r="E171" s="3" t="n">
        <v>0.16</v>
      </c>
      <c r="F171" s="3">
        <f>IF(B171="common", 4, IF(B171="uncommon", 3, IF(B171="rare", 0.73878, 1)))</f>
        <v/>
      </c>
      <c r="G171" s="3" t="n"/>
      <c r="H171" s="3" t="n"/>
      <c r="I171" s="3" t="n"/>
      <c r="J171" s="3" t="n"/>
      <c r="K171" s="3" t="n"/>
      <c r="L171" s="3" t="n"/>
      <c r="M171" s="3" t="n"/>
      <c r="N171" s="3" t="n"/>
      <c r="R171" s="3" t="n"/>
      <c r="S171" s="3" t="n"/>
      <c r="T171" s="3" t="n"/>
      <c r="U171" s="3" t="n"/>
      <c r="AA171">
        <f>E171 *1.88541666666666</f>
        <v/>
      </c>
      <c r="AB171" s="3">
        <f>1.88541666666666 * (E171 - AA171)^2</f>
        <v/>
      </c>
      <c r="AC171" s="3" t="n"/>
      <c r="AD171" s="3" t="n"/>
      <c r="AJ171" s="3" t="n"/>
      <c r="AK171" s="3" t="n"/>
      <c r="AL171" s="3" t="n"/>
      <c r="AM171" s="3" t="n"/>
      <c r="AN171" s="3" t="n"/>
      <c r="AT171" s="3" t="n"/>
      <c r="AU171" s="3" t="n"/>
      <c r="AV171" s="3" t="n"/>
      <c r="AW171" s="3" t="n"/>
      <c r="AX171" s="3" t="n"/>
      <c r="AY171" s="3" t="n"/>
    </row>
    <row r="172">
      <c r="A172" s="3" t="inlineStr">
        <is>
          <t>Seaking</t>
        </is>
      </c>
      <c r="B172" s="3" t="inlineStr">
        <is>
          <t>uncommon</t>
        </is>
      </c>
      <c r="C172" s="3" t="n">
        <v>62</v>
      </c>
      <c r="D172" s="3" t="n">
        <v>0.07000000000000001</v>
      </c>
      <c r="E172" s="3" t="n">
        <v>0.9</v>
      </c>
      <c r="F172" s="3">
        <f>IF(B172="common", 4, IF(B172="uncommon", 3, IF(B172="rare", 0.73878, 1)))</f>
        <v/>
      </c>
      <c r="G172" s="3" t="n"/>
      <c r="H172" s="3" t="n"/>
      <c r="I172" s="3" t="n"/>
      <c r="J172" s="3" t="n"/>
      <c r="K172" s="3" t="n"/>
      <c r="L172" s="3" t="n"/>
      <c r="M172" s="3" t="n"/>
      <c r="N172" s="3" t="n"/>
      <c r="R172" s="3" t="n"/>
      <c r="S172" s="3" t="n"/>
      <c r="T172" s="3" t="n"/>
      <c r="U172" s="3" t="n"/>
      <c r="AA172">
        <f>E172 *1.88541666666666</f>
        <v/>
      </c>
      <c r="AB172" s="3">
        <f>1.88541666666666 * (E172 - AA172)^2</f>
        <v/>
      </c>
      <c r="AC172" s="3" t="n"/>
      <c r="AD172" s="3" t="n"/>
      <c r="AJ172" s="3" t="n"/>
      <c r="AK172" s="3" t="n"/>
      <c r="AL172" s="3" t="n"/>
      <c r="AM172" s="3" t="n"/>
      <c r="AN172" s="3" t="n"/>
      <c r="AT172" s="3" t="n"/>
      <c r="AU172" s="3" t="n"/>
      <c r="AV172" s="3" t="n"/>
      <c r="AW172" s="3" t="n"/>
      <c r="AX172" s="3" t="n"/>
      <c r="AY172" s="3" t="n"/>
    </row>
    <row r="173">
      <c r="A173" s="3" t="inlineStr">
        <is>
          <t>Seel</t>
        </is>
      </c>
      <c r="B173" s="3" t="inlineStr">
        <is>
          <t>common</t>
        </is>
      </c>
      <c r="C173" s="3" t="n">
        <v>66</v>
      </c>
      <c r="D173" s="3" t="n">
        <v>0.06</v>
      </c>
      <c r="E173" s="3" t="n">
        <v>0.14</v>
      </c>
      <c r="F173" s="3">
        <f>IF(B173="common", 4, IF(B173="uncommon", 3, IF(B173="rare", 0.73878, 1)))</f>
        <v/>
      </c>
      <c r="G173" s="3" t="n"/>
      <c r="H173" s="3" t="n"/>
      <c r="I173" s="3" t="n"/>
      <c r="J173" s="3" t="n"/>
      <c r="K173" s="3" t="n"/>
      <c r="L173" s="3" t="n"/>
      <c r="M173" s="3" t="n"/>
      <c r="N173" s="3" t="n"/>
      <c r="R173" s="3" t="n"/>
      <c r="S173" s="3" t="n"/>
      <c r="T173" s="3" t="n"/>
      <c r="U173" s="3" t="n"/>
      <c r="AA173">
        <f>E173 *1.88541666666666</f>
        <v/>
      </c>
      <c r="AB173" s="3">
        <f>1.88541666666666 * (E173 - AA173)^2</f>
        <v/>
      </c>
      <c r="AC173" s="3" t="n"/>
      <c r="AD173" s="3" t="n"/>
      <c r="AJ173" s="3" t="n"/>
      <c r="AK173" s="3" t="n"/>
      <c r="AL173" s="3" t="n"/>
      <c r="AM173" s="3" t="n"/>
      <c r="AN173" s="3" t="n"/>
      <c r="AT173" s="3" t="n"/>
      <c r="AU173" s="3" t="n"/>
      <c r="AV173" s="3" t="n"/>
      <c r="AW173" s="3" t="n"/>
      <c r="AX173" s="3" t="n"/>
      <c r="AY173" s="3" t="n"/>
    </row>
    <row r="174">
      <c r="A174" s="3" t="inlineStr">
        <is>
          <t>Shellder</t>
        </is>
      </c>
      <c r="B174" s="3" t="inlineStr">
        <is>
          <t>common</t>
        </is>
      </c>
      <c r="C174" s="3" t="n">
        <v>66</v>
      </c>
      <c r="D174" s="3" t="n">
        <v>0.09</v>
      </c>
      <c r="E174" s="3" t="n">
        <v>0.15</v>
      </c>
      <c r="F174" s="3">
        <f>IF(B174="common", 4, IF(B174="uncommon", 3, IF(B174="rare", 0.73878, 1)))</f>
        <v/>
      </c>
      <c r="G174" s="3" t="n"/>
      <c r="H174" s="3" t="n"/>
      <c r="I174" s="3" t="n"/>
      <c r="J174" s="3" t="n"/>
      <c r="K174" s="3" t="n"/>
      <c r="L174" s="3" t="n"/>
      <c r="M174" s="3" t="n"/>
      <c r="N174" s="3" t="n"/>
      <c r="R174" s="3" t="n"/>
      <c r="S174" s="3" t="n"/>
      <c r="T174" s="3" t="n"/>
      <c r="U174" s="3" t="n"/>
      <c r="AA174">
        <f>E174 *1.88541666666666</f>
        <v/>
      </c>
      <c r="AB174" s="3">
        <f>1.88541666666666 * (E174 - AA174)^2</f>
        <v/>
      </c>
      <c r="AC174" s="3" t="n"/>
      <c r="AD174" s="3" t="n"/>
      <c r="AJ174" s="3" t="n"/>
      <c r="AK174" s="3" t="n"/>
      <c r="AL174" s="3" t="n"/>
      <c r="AM174" s="3" t="n"/>
      <c r="AN174" s="3" t="n"/>
      <c r="AT174" s="3" t="n"/>
      <c r="AU174" s="3" t="n"/>
      <c r="AV174" s="3" t="n"/>
      <c r="AW174" s="3" t="n"/>
      <c r="AX174" s="3" t="n"/>
      <c r="AY174" s="3" t="n"/>
    </row>
    <row r="175">
      <c r="A175" s="3" t="inlineStr">
        <is>
          <t>Slowbro</t>
        </is>
      </c>
      <c r="B175" s="3" t="inlineStr">
        <is>
          <t>uncommon</t>
        </is>
      </c>
      <c r="C175" s="3" t="n">
        <v>62</v>
      </c>
      <c r="D175" s="3" t="n">
        <v>0.09</v>
      </c>
      <c r="E175" s="3" t="n">
        <v>0.21</v>
      </c>
      <c r="F175" s="3">
        <f>IF(B175="common", 4, IF(B175="uncommon", 3, IF(B175="rare", 0.73878, 1)))</f>
        <v/>
      </c>
      <c r="G175" s="3" t="n"/>
      <c r="H175" s="3" t="n"/>
      <c r="I175" s="3" t="n"/>
      <c r="J175" s="3" t="n"/>
      <c r="K175" s="3" t="n"/>
      <c r="L175" s="3" t="n"/>
      <c r="M175" s="3" t="n"/>
      <c r="N175" s="3" t="n"/>
      <c r="R175" s="3" t="n"/>
      <c r="S175" s="3" t="n"/>
      <c r="T175" s="3" t="n"/>
      <c r="U175" s="3" t="n"/>
      <c r="AA175">
        <f>E175 *1.88541666666666</f>
        <v/>
      </c>
      <c r="AB175" s="3">
        <f>1.88541666666666 * (E175 - AA175)^2</f>
        <v/>
      </c>
      <c r="AC175" s="3" t="n"/>
      <c r="AD175" s="3" t="n"/>
      <c r="AJ175" s="3" t="n"/>
      <c r="AK175" s="3" t="n"/>
      <c r="AL175" s="3" t="n"/>
      <c r="AM175" s="3" t="n"/>
      <c r="AN175" s="3" t="n"/>
      <c r="AT175" s="3" t="n"/>
      <c r="AU175" s="3" t="n"/>
      <c r="AV175" s="3" t="n"/>
      <c r="AW175" s="3" t="n"/>
      <c r="AX175" s="3" t="n"/>
      <c r="AY175" s="3" t="n"/>
    </row>
    <row r="176">
      <c r="A176" s="3" t="inlineStr">
        <is>
          <t>Slowpoke</t>
        </is>
      </c>
      <c r="B176" s="3" t="inlineStr">
        <is>
          <t>common</t>
        </is>
      </c>
      <c r="C176" s="3" t="n">
        <v>66</v>
      </c>
      <c r="D176" s="3" t="n">
        <v>0.08</v>
      </c>
      <c r="E176" s="3" t="n">
        <v>0.17</v>
      </c>
      <c r="F176" s="3">
        <f>IF(B176="common", 4, IF(B176="uncommon", 3, IF(B176="rare", 0.73878, 1)))</f>
        <v/>
      </c>
      <c r="G176" s="3" t="n"/>
      <c r="H176" s="3" t="n"/>
      <c r="I176" s="3" t="n"/>
      <c r="J176" s="3" t="n"/>
      <c r="K176" s="3" t="n"/>
      <c r="L176" s="3" t="n"/>
      <c r="M176" s="3" t="n"/>
      <c r="N176" s="3" t="n"/>
      <c r="R176" s="3" t="n"/>
      <c r="S176" s="3" t="n"/>
      <c r="T176" s="3" t="n"/>
      <c r="U176" s="3" t="n"/>
      <c r="AA176">
        <f>E176 *1.88541666666666</f>
        <v/>
      </c>
      <c r="AB176" s="3">
        <f>1.88541666666666 * (E176 - AA176)^2</f>
        <v/>
      </c>
      <c r="AC176" s="3" t="n"/>
      <c r="AD176" s="3" t="n"/>
      <c r="AJ176" s="3" t="n"/>
      <c r="AK176" s="3" t="n"/>
      <c r="AL176" s="3" t="n"/>
      <c r="AM176" s="3" t="n"/>
      <c r="AN176" s="3" t="n"/>
      <c r="AT176" s="3" t="n"/>
      <c r="AU176" s="3" t="n"/>
      <c r="AV176" s="3" t="n"/>
      <c r="AW176" s="3" t="n"/>
      <c r="AX176" s="3" t="n"/>
      <c r="AY176" s="3" t="n"/>
    </row>
    <row r="177">
      <c r="A177" s="3" t="inlineStr">
        <is>
          <t>Snorlax</t>
        </is>
      </c>
      <c r="B177" s="3" t="inlineStr">
        <is>
          <t>uncommon</t>
        </is>
      </c>
      <c r="C177" s="3" t="n">
        <v>62</v>
      </c>
      <c r="D177" s="3" t="n">
        <v>0.12</v>
      </c>
      <c r="E177" s="3" t="n">
        <v>1.32</v>
      </c>
      <c r="F177" s="3">
        <f>IF(B177="common", 4, IF(B177="uncommon", 3, IF(B177="rare", 0.73878, 1)))</f>
        <v/>
      </c>
      <c r="G177" s="3" t="n"/>
      <c r="H177" s="3" t="n"/>
      <c r="I177" s="3" t="n"/>
      <c r="J177" s="3" t="n"/>
      <c r="K177" s="3" t="n"/>
      <c r="L177" s="3" t="n"/>
      <c r="M177" s="3" t="n"/>
      <c r="N177" s="3" t="n"/>
      <c r="R177" s="3" t="n"/>
      <c r="S177" s="3" t="n"/>
      <c r="T177" s="3" t="n"/>
      <c r="U177" s="3" t="n"/>
      <c r="AA177">
        <f>E177 *1.88541666666666</f>
        <v/>
      </c>
      <c r="AB177" s="3">
        <f>1.88541666666666 * (E177 - AA177)^2</f>
        <v/>
      </c>
      <c r="AC177" s="3" t="n"/>
      <c r="AD177" s="3" t="n"/>
      <c r="AJ177" s="3" t="n"/>
      <c r="AK177" s="3" t="n"/>
      <c r="AL177" s="3" t="n"/>
      <c r="AM177" s="3" t="n"/>
      <c r="AN177" s="3" t="n"/>
      <c r="AT177" s="3" t="n"/>
      <c r="AU177" s="3" t="n"/>
      <c r="AV177" s="3" t="n"/>
      <c r="AW177" s="3" t="n"/>
      <c r="AX177" s="3" t="n"/>
      <c r="AY177" s="3" t="n"/>
    </row>
    <row r="178">
      <c r="A178" s="3" t="inlineStr">
        <is>
          <t>Spearow</t>
        </is>
      </c>
      <c r="B178" s="3" t="inlineStr">
        <is>
          <t>common</t>
        </is>
      </c>
      <c r="C178" s="3" t="n">
        <v>66</v>
      </c>
      <c r="D178" s="3" t="n">
        <v>0.08</v>
      </c>
      <c r="E178" s="3" t="n">
        <v>0.79</v>
      </c>
      <c r="F178" s="3">
        <f>IF(B178="common", 4, IF(B178="uncommon", 3, IF(B178="rare", 0.73878, 1)))</f>
        <v/>
      </c>
      <c r="G178" s="3" t="n"/>
      <c r="H178" s="3" t="n"/>
      <c r="I178" s="3" t="n"/>
      <c r="J178" s="3" t="n"/>
      <c r="K178" s="3" t="n"/>
      <c r="L178" s="3" t="n"/>
      <c r="M178" s="3" t="n"/>
      <c r="N178" s="3" t="n"/>
      <c r="R178" s="3" t="n"/>
      <c r="S178" s="3" t="n"/>
      <c r="T178" s="3" t="n"/>
      <c r="U178" s="3" t="n"/>
      <c r="AA178">
        <f>E178 *1.88541666666666</f>
        <v/>
      </c>
      <c r="AB178" s="3">
        <f>1.88541666666666 * (E178 - AA178)^2</f>
        <v/>
      </c>
      <c r="AC178" s="3" t="n"/>
      <c r="AD178" s="3" t="n"/>
      <c r="AJ178" s="3" t="n"/>
      <c r="AK178" s="3" t="n"/>
      <c r="AL178" s="3" t="n"/>
      <c r="AM178" s="3" t="n"/>
      <c r="AN178" s="3" t="n"/>
      <c r="AT178" s="3" t="n"/>
      <c r="AU178" s="3" t="n"/>
      <c r="AV178" s="3" t="n"/>
      <c r="AW178" s="3" t="n"/>
      <c r="AX178" s="3" t="n"/>
      <c r="AY178" s="3" t="n"/>
    </row>
    <row r="179">
      <c r="A179" s="3" t="inlineStr">
        <is>
          <t>Squirtle - 007/165</t>
        </is>
      </c>
      <c r="B179" s="3" t="inlineStr">
        <is>
          <t>common</t>
        </is>
      </c>
      <c r="C179" s="3" t="n">
        <v>66</v>
      </c>
      <c r="D179" s="3" t="n">
        <v>0.11</v>
      </c>
      <c r="E179" s="3" t="n">
        <v>0.24</v>
      </c>
      <c r="F179" s="3">
        <f>IF(B179="common", 4, IF(B179="uncommon", 3, IF(B179="rare", 0.73878, 1)))</f>
        <v/>
      </c>
      <c r="G179" s="3" t="n"/>
      <c r="H179" s="3" t="n"/>
      <c r="I179" s="3" t="n"/>
      <c r="J179" s="3" t="n"/>
      <c r="K179" s="3" t="n"/>
      <c r="L179" s="3" t="n"/>
      <c r="M179" s="3" t="n"/>
      <c r="N179" s="3" t="n"/>
      <c r="R179" s="3" t="n"/>
      <c r="S179" s="3" t="n"/>
      <c r="T179" s="3" t="n"/>
      <c r="U179" s="3" t="n"/>
      <c r="AA179">
        <f>E179 *1.88541666666666</f>
        <v/>
      </c>
      <c r="AB179" s="3">
        <f>1.88541666666666 * (E179 - AA179)^2</f>
        <v/>
      </c>
      <c r="AC179" s="3" t="n"/>
      <c r="AD179" s="3" t="n"/>
      <c r="AJ179" s="3" t="n"/>
      <c r="AK179" s="3" t="n"/>
      <c r="AL179" s="3" t="n"/>
      <c r="AM179" s="3" t="n"/>
      <c r="AN179" s="3" t="n"/>
      <c r="AT179" s="3" t="n"/>
      <c r="AU179" s="3" t="n"/>
      <c r="AV179" s="3" t="n"/>
      <c r="AW179" s="3" t="n"/>
      <c r="AX179" s="3" t="n"/>
      <c r="AY179" s="3" t="n"/>
    </row>
    <row r="180">
      <c r="A180" s="3" t="inlineStr">
        <is>
          <t>Squirtle - 170/165</t>
        </is>
      </c>
      <c r="B180" s="3" t="inlineStr">
        <is>
          <t>illustration rare</t>
        </is>
      </c>
      <c r="C180" s="3" t="n">
        <v>188</v>
      </c>
      <c r="D180" s="3" t="n">
        <v>44.78</v>
      </c>
      <c r="E180" s="3" t="n"/>
      <c r="F180" s="3">
        <f>IF(B180="common", 4, IF(B180="uncommon", 3, IF(B180="rare", 0.73878, 1)))</f>
        <v/>
      </c>
      <c r="G180" s="3" t="n"/>
      <c r="H180" s="3" t="n"/>
      <c r="I180" s="3" t="n"/>
      <c r="J180" s="3" t="n"/>
      <c r="K180" s="3" t="n"/>
      <c r="L180" s="3" t="n"/>
      <c r="M180" s="3" t="n"/>
      <c r="N180" s="3" t="n"/>
      <c r="R180" s="3" t="n"/>
      <c r="S180" s="3" t="n"/>
      <c r="T180" s="3" t="n"/>
      <c r="U180" s="3" t="n"/>
      <c r="AA180">
        <f>E180 *1.88541666666666</f>
        <v/>
      </c>
      <c r="AB180" s="3">
        <f>1.88541666666666 * (E180 - AA180)^2</f>
        <v/>
      </c>
      <c r="AC180" s="3" t="n"/>
      <c r="AD180" s="3" t="n"/>
      <c r="AJ180" s="3" t="n"/>
      <c r="AK180" s="3" t="n"/>
      <c r="AL180" s="3" t="n"/>
      <c r="AM180" s="3" t="n"/>
      <c r="AN180" s="3" t="n"/>
      <c r="AT180" s="3" t="n"/>
      <c r="AU180" s="3" t="n"/>
      <c r="AV180" s="3" t="n"/>
      <c r="AW180" s="3" t="n"/>
      <c r="AX180" s="3" t="n"/>
      <c r="AY180" s="3" t="n"/>
    </row>
    <row r="181">
      <c r="A181" s="3" t="inlineStr">
        <is>
          <t>Starmie</t>
        </is>
      </c>
      <c r="B181" s="3" t="inlineStr">
        <is>
          <t>rare</t>
        </is>
      </c>
      <c r="C181" s="3" t="n">
        <v>26</v>
      </c>
      <c r="D181" s="3" t="n">
        <v>0.16</v>
      </c>
      <c r="E181" s="3" t="n">
        <v>0.48</v>
      </c>
      <c r="F181" s="3">
        <f>IF(B181="common", 4, IF(B181="uncommon", 3, IF(B181="rare", 0.73878, 1)))</f>
        <v/>
      </c>
      <c r="G181" s="3" t="n"/>
      <c r="H181" s="3" t="n"/>
      <c r="I181" s="3" t="n"/>
      <c r="J181" s="3" t="n"/>
      <c r="K181" s="3" t="n"/>
      <c r="L181" s="3" t="n"/>
      <c r="M181" s="3" t="n"/>
      <c r="N181" s="3" t="n"/>
      <c r="R181" s="3" t="n"/>
      <c r="S181" s="3" t="n"/>
      <c r="T181" s="3" t="n"/>
      <c r="U181" s="3" t="n"/>
      <c r="AA181">
        <f>E181 *1.88541666666666</f>
        <v/>
      </c>
      <c r="AB181" s="3">
        <f>1.88541666666666 * (E181 - AA181)^2</f>
        <v/>
      </c>
      <c r="AC181" s="3" t="n"/>
      <c r="AD181" s="3" t="n"/>
      <c r="AJ181" s="3" t="n"/>
      <c r="AK181" s="3" t="n"/>
      <c r="AL181" s="3" t="n"/>
      <c r="AM181" s="3" t="n"/>
      <c r="AN181" s="3" t="n"/>
      <c r="AT181" s="3" t="n"/>
      <c r="AU181" s="3" t="n"/>
      <c r="AV181" s="3" t="n"/>
      <c r="AW181" s="3" t="n"/>
      <c r="AX181" s="3" t="n"/>
      <c r="AY181" s="3" t="n"/>
    </row>
    <row r="182">
      <c r="A182" s="3" t="inlineStr">
        <is>
          <t>Staryu</t>
        </is>
      </c>
      <c r="B182" s="3" t="inlineStr">
        <is>
          <t>common</t>
        </is>
      </c>
      <c r="C182" s="3" t="n">
        <v>66</v>
      </c>
      <c r="D182" s="3" t="n">
        <v>0.08</v>
      </c>
      <c r="E182" s="3" t="n">
        <v>0.18</v>
      </c>
      <c r="F182" s="3">
        <f>IF(B182="common", 4, IF(B182="uncommon", 3, IF(B182="rare", 0.73878, 1)))</f>
        <v/>
      </c>
      <c r="G182" s="3" t="n"/>
      <c r="H182" s="3" t="n"/>
      <c r="I182" s="3" t="n"/>
      <c r="J182" s="3" t="n"/>
      <c r="K182" s="3" t="n"/>
      <c r="L182" s="3" t="n"/>
      <c r="M182" s="3" t="n"/>
      <c r="N182" s="3" t="n"/>
      <c r="R182" s="3" t="n"/>
      <c r="S182" s="3" t="n"/>
      <c r="T182" s="3" t="n"/>
      <c r="U182" s="3" t="n"/>
      <c r="AA182">
        <f>E182 *1.88541666666666</f>
        <v/>
      </c>
      <c r="AB182" s="3">
        <f>1.88541666666666 * (E182 - AA182)^2</f>
        <v/>
      </c>
      <c r="AC182" s="3" t="n"/>
      <c r="AD182" s="3" t="n"/>
      <c r="AJ182" s="3" t="n"/>
      <c r="AK182" s="3" t="n"/>
      <c r="AL182" s="3" t="n"/>
      <c r="AM182" s="3" t="n"/>
      <c r="AN182" s="3" t="n"/>
      <c r="AT182" s="3" t="n"/>
      <c r="AU182" s="3" t="n"/>
      <c r="AV182" s="3" t="n"/>
      <c r="AW182" s="3" t="n"/>
      <c r="AX182" s="3" t="n"/>
      <c r="AY182" s="3" t="n"/>
    </row>
    <row r="183">
      <c r="A183" s="3" t="inlineStr">
        <is>
          <t>Switch - 206/165</t>
        </is>
      </c>
      <c r="B183" s="3" t="inlineStr">
        <is>
          <t>hyper rare</t>
        </is>
      </c>
      <c r="C183" s="3" t="n">
        <v>154</v>
      </c>
      <c r="D183" s="3" t="n">
        <v>1.78</v>
      </c>
      <c r="E183" s="3" t="n"/>
      <c r="F183" s="3">
        <f>IF(B183="common", 4, IF(B183="uncommon", 3, IF(B183="rare", 0.73878, 1)))</f>
        <v/>
      </c>
      <c r="G183" s="3" t="n"/>
      <c r="H183" s="3" t="n"/>
      <c r="I183" s="3" t="n"/>
      <c r="J183" s="3" t="n"/>
      <c r="K183" s="3" t="n"/>
      <c r="L183" s="3" t="n"/>
      <c r="M183" s="3" t="n"/>
      <c r="N183" s="3" t="n"/>
      <c r="R183" s="3" t="n"/>
      <c r="S183" s="3" t="n"/>
      <c r="T183" s="3" t="n"/>
      <c r="U183" s="3" t="n"/>
      <c r="AA183">
        <f>E183 *1.88541666666666</f>
        <v/>
      </c>
      <c r="AB183" s="3">
        <f>1.88541666666666 * (E183 - AA183)^2</f>
        <v/>
      </c>
      <c r="AC183" s="3" t="n"/>
      <c r="AD183" s="3" t="n"/>
      <c r="AJ183" s="3" t="n"/>
      <c r="AK183" s="3" t="n"/>
      <c r="AL183" s="3" t="n"/>
      <c r="AM183" s="3" t="n"/>
      <c r="AN183" s="3" t="n"/>
      <c r="AT183" s="3" t="n"/>
      <c r="AU183" s="3" t="n"/>
      <c r="AV183" s="3" t="n"/>
      <c r="AW183" s="3" t="n"/>
      <c r="AX183" s="3" t="n"/>
      <c r="AY183" s="3" t="n"/>
    </row>
    <row r="184">
      <c r="A184" s="3" t="inlineStr">
        <is>
          <t>Tangela - 114/165</t>
        </is>
      </c>
      <c r="B184" s="3" t="inlineStr">
        <is>
          <t>common</t>
        </is>
      </c>
      <c r="C184" s="3" t="n">
        <v>66</v>
      </c>
      <c r="D184" s="3" t="n">
        <v>0.04</v>
      </c>
      <c r="E184" s="3" t="n">
        <v>0.15</v>
      </c>
      <c r="F184" s="3">
        <f>IF(B184="common", 4, IF(B184="uncommon", 3, IF(B184="rare", 0.73878, 1)))</f>
        <v/>
      </c>
      <c r="G184" s="3" t="n"/>
      <c r="H184" s="3" t="n"/>
      <c r="I184" s="3" t="n"/>
      <c r="J184" s="3" t="n"/>
      <c r="K184" s="3" t="n"/>
      <c r="L184" s="3" t="n"/>
      <c r="M184" s="3" t="n"/>
      <c r="N184" s="3" t="n"/>
      <c r="R184" s="3" t="n"/>
      <c r="S184" s="3" t="n"/>
      <c r="T184" s="3" t="n"/>
      <c r="U184" s="3" t="n"/>
      <c r="AA184">
        <f>E184 *1.88541666666666</f>
        <v/>
      </c>
      <c r="AB184" s="3">
        <f>1.88541666666666 * (E184 - AA184)^2</f>
        <v/>
      </c>
      <c r="AC184" s="3" t="n"/>
      <c r="AD184" s="3" t="n"/>
      <c r="AJ184" s="3" t="n"/>
      <c r="AK184" s="3" t="n"/>
      <c r="AL184" s="3" t="n"/>
      <c r="AM184" s="3" t="n"/>
      <c r="AN184" s="3" t="n"/>
      <c r="AT184" s="3" t="n"/>
      <c r="AU184" s="3" t="n"/>
      <c r="AV184" s="3" t="n"/>
      <c r="AW184" s="3" t="n"/>
      <c r="AX184" s="3" t="n"/>
      <c r="AY184" s="3" t="n"/>
    </row>
    <row r="185">
      <c r="A185" s="3" t="inlineStr">
        <is>
          <t>Tangela - 178/165</t>
        </is>
      </c>
      <c r="B185" s="3" t="inlineStr">
        <is>
          <t>illustration rare</t>
        </is>
      </c>
      <c r="C185" s="3" t="n">
        <v>188</v>
      </c>
      <c r="D185" s="3" t="n">
        <v>6.87</v>
      </c>
      <c r="E185" s="3" t="n"/>
      <c r="F185" s="3">
        <f>IF(B185="common", 4, IF(B185="uncommon", 3, IF(B185="rare", 0.73878, 1)))</f>
        <v/>
      </c>
      <c r="G185" s="3" t="n"/>
      <c r="H185" s="3" t="n"/>
      <c r="I185" s="3" t="n"/>
      <c r="J185" s="3" t="n"/>
      <c r="K185" s="3" t="n"/>
      <c r="L185" s="3" t="n"/>
      <c r="M185" s="3" t="n"/>
      <c r="N185" s="3" t="n"/>
      <c r="R185" s="3" t="n"/>
      <c r="S185" s="3" t="n"/>
      <c r="T185" s="3" t="n"/>
      <c r="U185" s="3" t="n"/>
      <c r="AA185">
        <f>E185 *1.88541666666666</f>
        <v/>
      </c>
      <c r="AB185" s="3">
        <f>1.88541666666666 * (E185 - AA185)^2</f>
        <v/>
      </c>
      <c r="AC185" s="3" t="n"/>
      <c r="AD185" s="3" t="n"/>
      <c r="AJ185" s="3" t="n"/>
      <c r="AK185" s="3" t="n"/>
      <c r="AL185" s="3" t="n"/>
      <c r="AM185" s="3" t="n"/>
      <c r="AN185" s="3" t="n"/>
      <c r="AT185" s="3" t="n"/>
      <c r="AU185" s="3" t="n"/>
      <c r="AV185" s="3" t="n"/>
      <c r="AW185" s="3" t="n"/>
      <c r="AX185" s="3" t="n"/>
      <c r="AY185" s="3" t="n"/>
    </row>
    <row r="186">
      <c r="A186" s="3" t="inlineStr">
        <is>
          <t>Tauros</t>
        </is>
      </c>
      <c r="B186" s="3" t="inlineStr">
        <is>
          <t>uncommon</t>
        </is>
      </c>
      <c r="C186" s="3" t="n">
        <v>62</v>
      </c>
      <c r="D186" s="3" t="n">
        <v>0.11</v>
      </c>
      <c r="E186" s="3" t="n">
        <v>0.7</v>
      </c>
      <c r="F186" s="3">
        <f>IF(B186="common", 4, IF(B186="uncommon", 3, IF(B186="rare", 0.73878, 1)))</f>
        <v/>
      </c>
      <c r="G186" s="3" t="n"/>
      <c r="H186" s="3" t="n"/>
      <c r="I186" s="3" t="n"/>
      <c r="J186" s="3" t="n"/>
      <c r="K186" s="3" t="n"/>
      <c r="L186" s="3" t="n"/>
      <c r="M186" s="3" t="n"/>
      <c r="N186" s="3" t="n"/>
      <c r="R186" s="3" t="n"/>
      <c r="S186" s="3" t="n"/>
      <c r="T186" s="3" t="n"/>
      <c r="U186" s="3" t="n"/>
      <c r="AA186">
        <f>E186 *1.88541666666666</f>
        <v/>
      </c>
      <c r="AB186" s="3">
        <f>1.88541666666666 * (E186 - AA186)^2</f>
        <v/>
      </c>
      <c r="AC186" s="3" t="n"/>
      <c r="AD186" s="3" t="n"/>
      <c r="AJ186" s="3" t="n"/>
      <c r="AK186" s="3" t="n"/>
      <c r="AL186" s="3" t="n"/>
      <c r="AM186" s="3" t="n"/>
      <c r="AN186" s="3" t="n"/>
      <c r="AT186" s="3" t="n"/>
      <c r="AU186" s="3" t="n"/>
      <c r="AV186" s="3" t="n"/>
      <c r="AW186" s="3" t="n"/>
      <c r="AX186" s="3" t="n"/>
      <c r="AY186" s="3" t="n"/>
    </row>
    <row r="187">
      <c r="A187" s="3" t="inlineStr">
        <is>
          <t>Tentacool</t>
        </is>
      </c>
      <c r="B187" s="3" t="inlineStr">
        <is>
          <t>common</t>
        </is>
      </c>
      <c r="C187" s="3" t="n">
        <v>66</v>
      </c>
      <c r="D187" s="3" t="n">
        <v>0.08</v>
      </c>
      <c r="E187" s="3" t="n">
        <v>0.16</v>
      </c>
      <c r="F187" s="3">
        <f>IF(B187="common", 4, IF(B187="uncommon", 3, IF(B187="rare", 0.73878, 1)))</f>
        <v/>
      </c>
      <c r="G187" s="3" t="n"/>
      <c r="H187" s="3" t="n"/>
      <c r="I187" s="3" t="n"/>
      <c r="J187" s="3" t="n"/>
      <c r="K187" s="3" t="n"/>
      <c r="L187" s="3" t="n"/>
      <c r="M187" s="3" t="n"/>
      <c r="N187" s="3" t="n"/>
      <c r="R187" s="3" t="n"/>
      <c r="S187" s="3" t="n"/>
      <c r="T187" s="3" t="n"/>
      <c r="U187" s="3" t="n"/>
      <c r="AA187">
        <f>E187 *1.88541666666666</f>
        <v/>
      </c>
      <c r="AB187" s="3">
        <f>1.88541666666666 * (E187 - AA187)^2</f>
        <v/>
      </c>
      <c r="AC187" s="3" t="n"/>
      <c r="AD187" s="3" t="n"/>
      <c r="AJ187" s="3" t="n"/>
      <c r="AK187" s="3" t="n"/>
      <c r="AL187" s="3" t="n"/>
      <c r="AM187" s="3" t="n"/>
      <c r="AN187" s="3" t="n"/>
      <c r="AT187" s="3" t="n"/>
      <c r="AU187" s="3" t="n"/>
      <c r="AV187" s="3" t="n"/>
      <c r="AW187" s="3" t="n"/>
      <c r="AX187" s="3" t="n"/>
      <c r="AY187" s="3" t="n"/>
    </row>
    <row r="188">
      <c r="A188" s="3" t="inlineStr">
        <is>
          <t>Tentacruel</t>
        </is>
      </c>
      <c r="B188" s="3" t="inlineStr">
        <is>
          <t>uncommon</t>
        </is>
      </c>
      <c r="C188" s="3" t="n">
        <v>62</v>
      </c>
      <c r="D188" s="3" t="n">
        <v>0.11</v>
      </c>
      <c r="E188" s="3" t="n">
        <v>0.22</v>
      </c>
      <c r="F188" s="3">
        <f>IF(B188="common", 4, IF(B188="uncommon", 3, IF(B188="rare", 0.73878, 1)))</f>
        <v/>
      </c>
      <c r="G188" s="3" t="n"/>
      <c r="H188" s="3" t="n"/>
      <c r="I188" s="3" t="n"/>
      <c r="J188" s="3" t="n"/>
      <c r="K188" s="3" t="n"/>
      <c r="L188" s="3" t="n"/>
      <c r="M188" s="3" t="n"/>
      <c r="N188" s="3" t="n"/>
      <c r="R188" s="3" t="n"/>
      <c r="S188" s="3" t="n"/>
      <c r="T188" s="3" t="n"/>
      <c r="U188" s="3" t="n"/>
      <c r="AA188">
        <f>E188 *1.88541666666666</f>
        <v/>
      </c>
      <c r="AB188" s="3">
        <f>1.88541666666666 * (E188 - AA188)^2</f>
        <v/>
      </c>
      <c r="AC188" s="3" t="n"/>
      <c r="AD188" s="3" t="n"/>
      <c r="AJ188" s="3" t="n"/>
      <c r="AK188" s="3" t="n"/>
      <c r="AL188" s="3" t="n"/>
      <c r="AM188" s="3" t="n"/>
      <c r="AN188" s="3" t="n"/>
      <c r="AT188" s="3" t="n"/>
      <c r="AU188" s="3" t="n"/>
      <c r="AV188" s="3" t="n"/>
      <c r="AW188" s="3" t="n"/>
      <c r="AX188" s="3" t="n"/>
      <c r="AY188" s="3" t="n"/>
    </row>
    <row r="189">
      <c r="A189" s="3" t="inlineStr">
        <is>
          <t>Vaporeon</t>
        </is>
      </c>
      <c r="B189" s="3" t="inlineStr">
        <is>
          <t>rare</t>
        </is>
      </c>
      <c r="C189" s="3" t="n">
        <v>26</v>
      </c>
      <c r="D189" s="3" t="n">
        <v>0.17</v>
      </c>
      <c r="E189" s="3" t="n">
        <v>1.05</v>
      </c>
      <c r="F189" s="3">
        <f>IF(B189="common", 4, IF(B189="uncommon", 3, IF(B189="rare", 0.73878, 1)))</f>
        <v/>
      </c>
      <c r="G189" s="3" t="n"/>
      <c r="H189" s="3" t="n"/>
      <c r="I189" s="3" t="n"/>
      <c r="J189" s="3" t="n"/>
      <c r="K189" s="3" t="n"/>
      <c r="L189" s="3" t="n"/>
      <c r="M189" s="3" t="n"/>
      <c r="N189" s="3" t="n"/>
      <c r="R189" s="3" t="n"/>
      <c r="S189" s="3" t="n"/>
      <c r="T189" s="3" t="n"/>
      <c r="U189" s="3" t="n"/>
      <c r="AA189">
        <f>E189 *1.88541666666666</f>
        <v/>
      </c>
      <c r="AB189" s="3">
        <f>1.88541666666666 * (E189 - AA189)^2</f>
        <v/>
      </c>
      <c r="AC189" s="3" t="n"/>
      <c r="AD189" s="3" t="n"/>
      <c r="AJ189" s="3" t="n"/>
      <c r="AK189" s="3" t="n"/>
      <c r="AL189" s="3" t="n"/>
      <c r="AM189" s="3" t="n"/>
      <c r="AN189" s="3" t="n"/>
      <c r="AT189" s="3" t="n"/>
      <c r="AU189" s="3" t="n"/>
      <c r="AV189" s="3" t="n"/>
      <c r="AW189" s="3" t="n"/>
      <c r="AX189" s="3" t="n"/>
      <c r="AY189" s="3" t="n"/>
    </row>
    <row r="190">
      <c r="A190" s="3" t="inlineStr">
        <is>
          <t>Venomoth</t>
        </is>
      </c>
      <c r="B190" s="3" t="inlineStr">
        <is>
          <t>uncommon</t>
        </is>
      </c>
      <c r="C190" s="3" t="n">
        <v>62</v>
      </c>
      <c r="D190" s="3" t="n">
        <v>0.07000000000000001</v>
      </c>
      <c r="E190" s="3" t="n">
        <v>0.21</v>
      </c>
      <c r="F190" s="3">
        <f>IF(B190="common", 4, IF(B190="uncommon", 3, IF(B190="rare", 0.73878, 1)))</f>
        <v/>
      </c>
      <c r="G190" s="3" t="n"/>
      <c r="H190" s="3" t="n"/>
      <c r="I190" s="3" t="n"/>
      <c r="J190" s="3" t="n"/>
      <c r="K190" s="3" t="n"/>
      <c r="L190" s="3" t="n"/>
      <c r="M190" s="3" t="n"/>
      <c r="N190" s="3" t="n"/>
      <c r="R190" s="3" t="n"/>
      <c r="S190" s="3" t="n"/>
      <c r="T190" s="3" t="n"/>
      <c r="U190" s="3" t="n"/>
      <c r="AA190">
        <f>E190 *1.88541666666666</f>
        <v/>
      </c>
      <c r="AB190" s="3">
        <f>1.88541666666666 * (E190 - AA190)^2</f>
        <v/>
      </c>
      <c r="AC190" s="3" t="n"/>
      <c r="AD190" s="3" t="n"/>
      <c r="AJ190" s="3" t="n"/>
      <c r="AK190" s="3" t="n"/>
      <c r="AL190" s="3" t="n"/>
      <c r="AM190" s="3" t="n"/>
      <c r="AN190" s="3" t="n"/>
      <c r="AT190" s="3" t="n"/>
      <c r="AU190" s="3" t="n"/>
      <c r="AV190" s="3" t="n"/>
      <c r="AW190" s="3" t="n"/>
      <c r="AX190" s="3" t="n"/>
      <c r="AY190" s="3" t="n"/>
    </row>
    <row r="191">
      <c r="A191" s="3" t="inlineStr">
        <is>
          <t>Venonat</t>
        </is>
      </c>
      <c r="B191" s="3" t="inlineStr">
        <is>
          <t>common</t>
        </is>
      </c>
      <c r="C191" s="3" t="n">
        <v>66</v>
      </c>
      <c r="D191" s="3" t="n">
        <v>0.09</v>
      </c>
      <c r="E191" s="3" t="n">
        <v>0.18</v>
      </c>
      <c r="F191" s="3">
        <f>IF(B191="common", 4, IF(B191="uncommon", 3, IF(B191="rare", 0.73878, 1)))</f>
        <v/>
      </c>
      <c r="G191" s="3" t="n"/>
      <c r="H191" s="3" t="n"/>
      <c r="I191" s="3" t="n"/>
      <c r="J191" s="3" t="n"/>
      <c r="K191" s="3" t="n"/>
      <c r="L191" s="3" t="n"/>
      <c r="M191" s="3" t="n"/>
      <c r="N191" s="3" t="n"/>
      <c r="R191" s="3" t="n"/>
      <c r="S191" s="3" t="n"/>
      <c r="T191" s="3" t="n"/>
      <c r="U191" s="3" t="n"/>
      <c r="AA191">
        <f>E191 *1.88541666666666</f>
        <v/>
      </c>
      <c r="AB191" s="3">
        <f>1.88541666666666 * (E191 - AA191)^2</f>
        <v/>
      </c>
      <c r="AC191" s="3" t="n"/>
      <c r="AD191" s="3" t="n"/>
      <c r="AJ191" s="3" t="n"/>
      <c r="AK191" s="3" t="n"/>
      <c r="AL191" s="3" t="n"/>
      <c r="AM191" s="3" t="n"/>
      <c r="AN191" s="3" t="n"/>
      <c r="AT191" s="3" t="n"/>
      <c r="AU191" s="3" t="n"/>
      <c r="AV191" s="3" t="n"/>
      <c r="AW191" s="3" t="n"/>
      <c r="AX191" s="3" t="n"/>
      <c r="AY191" s="3" t="n"/>
    </row>
    <row r="192">
      <c r="A192" s="3" t="inlineStr">
        <is>
          <t>Venusaur ex - 003/165</t>
        </is>
      </c>
      <c r="B192" s="3" t="inlineStr">
        <is>
          <t>double rare</t>
        </is>
      </c>
      <c r="C192" s="3" t="n">
        <v>90</v>
      </c>
      <c r="D192" s="3" t="n">
        <v>0.71</v>
      </c>
      <c r="E192" s="3" t="n"/>
      <c r="F192" s="3">
        <f>IF(B192="common", 4, IF(B192="uncommon", 3, IF(B192="rare", 0.73878, 1)))</f>
        <v/>
      </c>
      <c r="G192" s="3" t="n"/>
      <c r="H192" s="3" t="n"/>
      <c r="I192" s="3" t="n"/>
      <c r="J192" s="3" t="n"/>
      <c r="K192" s="3" t="n"/>
      <c r="L192" s="3" t="n"/>
      <c r="M192" s="3" t="n"/>
      <c r="N192" s="3" t="n"/>
      <c r="R192" s="3" t="n"/>
      <c r="S192" s="3" t="n"/>
      <c r="T192" s="3" t="n"/>
      <c r="U192" s="3" t="n"/>
      <c r="AA192">
        <f>E192 *1.88541666666666</f>
        <v/>
      </c>
      <c r="AB192" s="3">
        <f>1.88541666666666 * (E192 - AA192)^2</f>
        <v/>
      </c>
      <c r="AC192" s="3" t="n"/>
      <c r="AD192" s="3" t="n"/>
      <c r="AJ192" s="3" t="n"/>
      <c r="AK192" s="3" t="n"/>
      <c r="AL192" s="3" t="n"/>
      <c r="AM192" s="3" t="n"/>
      <c r="AN192" s="3" t="n"/>
      <c r="AT192" s="3" t="n"/>
      <c r="AU192" s="3" t="n"/>
      <c r="AV192" s="3" t="n"/>
      <c r="AW192" s="3" t="n"/>
      <c r="AX192" s="3" t="n"/>
      <c r="AY192" s="3" t="n"/>
    </row>
    <row r="193">
      <c r="A193" s="3" t="inlineStr">
        <is>
          <t>Venusaur ex - 182/165</t>
        </is>
      </c>
      <c r="B193" s="3" t="inlineStr">
        <is>
          <t>ultra rare</t>
        </is>
      </c>
      <c r="C193" s="3" t="n">
        <v>248</v>
      </c>
      <c r="D193" s="3" t="n">
        <v>8.539999999999999</v>
      </c>
      <c r="E193" s="3" t="n"/>
      <c r="F193" s="3">
        <f>IF(B193="common", 4, IF(B193="uncommon", 3, IF(B193="rare", 0.73878, 1)))</f>
        <v/>
      </c>
      <c r="G193" s="3" t="n"/>
      <c r="H193" s="3" t="n"/>
      <c r="I193" s="3" t="n"/>
      <c r="J193" s="3" t="n"/>
      <c r="K193" s="3" t="n"/>
      <c r="L193" s="3" t="n"/>
      <c r="M193" s="3" t="n"/>
      <c r="N193" s="3" t="n"/>
      <c r="R193" s="3" t="n"/>
      <c r="S193" s="3" t="n"/>
      <c r="T193" s="3" t="n"/>
      <c r="U193" s="3" t="n"/>
      <c r="AA193">
        <f>E193 *1.88541666666666</f>
        <v/>
      </c>
      <c r="AB193" s="3">
        <f>1.88541666666666 * (E193 - AA193)^2</f>
        <v/>
      </c>
      <c r="AC193" s="3" t="n"/>
      <c r="AD193" s="3" t="n"/>
      <c r="AJ193" s="3" t="n"/>
      <c r="AK193" s="3" t="n"/>
      <c r="AL193" s="3" t="n"/>
      <c r="AM193" s="3" t="n"/>
      <c r="AN193" s="3" t="n"/>
      <c r="AT193" s="3" t="n"/>
      <c r="AU193" s="3" t="n"/>
      <c r="AV193" s="3" t="n"/>
      <c r="AW193" s="3" t="n"/>
      <c r="AX193" s="3" t="n"/>
      <c r="AY193" s="3" t="n"/>
    </row>
    <row r="194">
      <c r="A194" s="3" t="inlineStr">
        <is>
          <t>Venusaur ex - 198/165</t>
        </is>
      </c>
      <c r="B194" s="3" t="inlineStr">
        <is>
          <t>special illustration rare</t>
        </is>
      </c>
      <c r="C194" s="3" t="n">
        <v>225</v>
      </c>
      <c r="D194" s="3" t="n">
        <v>63.4</v>
      </c>
      <c r="E194" s="3" t="n"/>
      <c r="F194" s="3">
        <f>IF(B194="common", 4, IF(B194="uncommon", 3, IF(B194="rare", 0.73878, 1)))</f>
        <v/>
      </c>
      <c r="G194" s="3" t="n"/>
      <c r="H194" s="3" t="n"/>
      <c r="I194" s="3" t="n"/>
      <c r="J194" s="3" t="n"/>
      <c r="K194" s="3" t="n"/>
      <c r="L194" s="3" t="n"/>
      <c r="M194" s="3" t="n"/>
      <c r="N194" s="3" t="n"/>
      <c r="R194" s="3" t="n"/>
      <c r="S194" s="3" t="n"/>
      <c r="T194" s="3" t="n"/>
      <c r="U194" s="3" t="n"/>
      <c r="AA194">
        <f>E194 *1.88541666666666</f>
        <v/>
      </c>
      <c r="AB194" s="3">
        <f>1.88541666666666 * (E194 - AA194)^2</f>
        <v/>
      </c>
      <c r="AC194" s="3" t="n"/>
      <c r="AD194" s="3" t="n"/>
      <c r="AJ194" s="3" t="n"/>
      <c r="AK194" s="3" t="n"/>
      <c r="AL194" s="3" t="n"/>
      <c r="AM194" s="3" t="n"/>
      <c r="AN194" s="3" t="n"/>
      <c r="AT194" s="3" t="n"/>
      <c r="AU194" s="3" t="n"/>
      <c r="AV194" s="3" t="n"/>
      <c r="AW194" s="3" t="n"/>
      <c r="AX194" s="3" t="n"/>
      <c r="AY194" s="3" t="n"/>
    </row>
    <row r="195">
      <c r="A195" s="3" t="inlineStr">
        <is>
          <t>Victreebel</t>
        </is>
      </c>
      <c r="B195" s="3" t="inlineStr">
        <is>
          <t>uncommon</t>
        </is>
      </c>
      <c r="C195" s="3" t="n">
        <v>62</v>
      </c>
      <c r="D195" s="3" t="n">
        <v>0.1</v>
      </c>
      <c r="E195" s="3" t="n">
        <v>0.18</v>
      </c>
      <c r="F195" s="3">
        <f>IF(B195="common", 4, IF(B195="uncommon", 3, IF(B195="rare", 0.73878, 1)))</f>
        <v/>
      </c>
      <c r="G195" s="3" t="n"/>
      <c r="H195" s="3" t="n"/>
      <c r="I195" s="3" t="n"/>
      <c r="J195" s="3" t="n"/>
      <c r="K195" s="3" t="n"/>
      <c r="L195" s="3" t="n"/>
      <c r="M195" s="3" t="n"/>
      <c r="N195" s="3" t="n"/>
      <c r="R195" s="3" t="n"/>
      <c r="S195" s="3" t="n"/>
      <c r="T195" s="3" t="n"/>
      <c r="U195" s="3" t="n"/>
      <c r="AA195">
        <f>E195 *1.88541666666666</f>
        <v/>
      </c>
      <c r="AB195" s="3">
        <f>1.88541666666666 * (E195  -  AA195)^2</f>
        <v/>
      </c>
      <c r="AC195" s="3" t="n"/>
      <c r="AD195" s="3" t="n"/>
      <c r="AJ195" s="3" t="n"/>
      <c r="AK195" s="3" t="n"/>
      <c r="AL195" s="3" t="n"/>
      <c r="AM195" s="3" t="n"/>
      <c r="AN195" s="3" t="n"/>
      <c r="AT195" s="3" t="n"/>
      <c r="AU195" s="3" t="n"/>
      <c r="AV195" s="3" t="n"/>
      <c r="AW195" s="3" t="n"/>
      <c r="AX195" s="3" t="n"/>
      <c r="AY195" s="3" t="n"/>
    </row>
    <row r="196">
      <c r="A196" s="3" t="inlineStr">
        <is>
          <t>Vileplume</t>
        </is>
      </c>
      <c r="B196" s="3" t="inlineStr">
        <is>
          <t>rare</t>
        </is>
      </c>
      <c r="C196" s="3" t="n">
        <v>26</v>
      </c>
      <c r="D196" s="3" t="n">
        <v>0.16</v>
      </c>
      <c r="E196" s="3" t="n">
        <v>0.75</v>
      </c>
      <c r="F196" s="3">
        <f>IF(B196="common", 4, IF(B196="uncommon", 3, IF(B196="rare", 0.73878, 1)))</f>
        <v/>
      </c>
      <c r="G196" s="3" t="n"/>
      <c r="H196" s="3" t="n"/>
      <c r="I196" s="3" t="n"/>
      <c r="J196" s="3" t="n"/>
      <c r="K196" s="3" t="n"/>
      <c r="L196" s="3" t="n"/>
      <c r="M196" s="3" t="n"/>
      <c r="N196" s="3" t="n"/>
      <c r="R196" s="3" t="n"/>
      <c r="S196" s="3" t="n"/>
      <c r="T196" s="3" t="n"/>
      <c r="U196" s="3" t="n"/>
      <c r="AA196">
        <f>E196 *1.88541666666666</f>
        <v/>
      </c>
      <c r="AB196" s="3">
        <f>1.88541666666666 * (E196 - AA196)^2</f>
        <v/>
      </c>
      <c r="AC196" s="3" t="n"/>
      <c r="AD196" s="3" t="n"/>
      <c r="AJ196" s="3" t="n"/>
      <c r="AK196" s="3" t="n"/>
      <c r="AL196" s="3" t="n"/>
      <c r="AM196" s="3" t="n"/>
      <c r="AN196" s="3" t="n"/>
      <c r="AT196" s="3" t="n"/>
      <c r="AU196" s="3" t="n"/>
      <c r="AV196" s="3" t="n"/>
      <c r="AW196" s="3" t="n"/>
      <c r="AX196" s="3" t="n"/>
      <c r="AY196" s="3" t="n"/>
    </row>
    <row r="197">
      <c r="A197" s="3" t="inlineStr">
        <is>
          <t>Voltorb</t>
        </is>
      </c>
      <c r="B197" s="3" t="inlineStr">
        <is>
          <t>common</t>
        </is>
      </c>
      <c r="C197" s="3" t="n">
        <v>66</v>
      </c>
      <c r="D197" s="3" t="n">
        <v>0.05</v>
      </c>
      <c r="E197" s="3" t="n">
        <v>0.12</v>
      </c>
      <c r="F197" s="3">
        <f>IF(B197="common", 4, IF(B197="uncommon", 3, IF(B197="rare", 0.73878, 1)))</f>
        <v/>
      </c>
      <c r="G197" s="3" t="n"/>
      <c r="H197" s="3" t="n"/>
      <c r="I197" s="3" t="n"/>
      <c r="J197" s="3" t="n"/>
      <c r="K197" s="3" t="n"/>
      <c r="L197" s="3" t="n"/>
      <c r="M197" s="3" t="n"/>
      <c r="N197" s="3" t="n"/>
      <c r="R197" s="3" t="n"/>
      <c r="S197" s="3" t="n"/>
      <c r="T197" s="3" t="n"/>
      <c r="U197" s="3" t="n"/>
      <c r="AA197">
        <f>E197 *1.88541666666666</f>
        <v/>
      </c>
      <c r="AB197" s="3">
        <f>1.88541666666666 * (E197 - AA197)^2</f>
        <v/>
      </c>
      <c r="AC197" s="3" t="n"/>
      <c r="AD197" s="3" t="n"/>
      <c r="AJ197" s="3" t="n"/>
      <c r="AK197" s="3" t="n"/>
      <c r="AL197" s="3" t="n"/>
      <c r="AM197" s="3" t="n"/>
      <c r="AN197" s="3" t="n"/>
      <c r="AT197" s="3" t="n"/>
      <c r="AU197" s="3" t="n"/>
      <c r="AV197" s="3" t="n"/>
      <c r="AW197" s="3" t="n"/>
      <c r="AX197" s="3" t="n"/>
      <c r="AY197" s="3" t="n"/>
    </row>
    <row r="198">
      <c r="A198" s="3" t="inlineStr">
        <is>
          <t>Vulpix</t>
        </is>
      </c>
      <c r="B198" s="3" t="inlineStr">
        <is>
          <t>common</t>
        </is>
      </c>
      <c r="C198" s="3" t="n">
        <v>66</v>
      </c>
      <c r="D198" s="3" t="n">
        <v>0.08</v>
      </c>
      <c r="E198" s="3" t="n">
        <v>0.17</v>
      </c>
      <c r="F198" s="3">
        <f>IF(B198="common", 4, IF(B198="uncommon", 3, IF(B198="rare", 0.73878, 1)))</f>
        <v/>
      </c>
      <c r="G198" s="3" t="n"/>
      <c r="H198" s="3" t="n"/>
      <c r="I198" s="3" t="n"/>
      <c r="J198" s="3" t="n"/>
      <c r="K198" s="3" t="n"/>
      <c r="L198" s="3" t="n"/>
      <c r="M198" s="3" t="n"/>
      <c r="N198" s="3" t="n"/>
      <c r="R198" s="3" t="n"/>
      <c r="S198" s="3" t="n"/>
      <c r="T198" s="3" t="n"/>
      <c r="U198" s="3" t="n"/>
      <c r="AA198">
        <f>E198 *1.88541666666666</f>
        <v/>
      </c>
      <c r="AB198" s="3">
        <f>1.88541666666666 * (E198 - AA198)^2</f>
        <v/>
      </c>
      <c r="AC198" s="3" t="n"/>
      <c r="AD198" s="3" t="n"/>
      <c r="AJ198" s="3" t="n"/>
      <c r="AK198" s="3" t="n"/>
      <c r="AL198" s="3" t="n"/>
      <c r="AM198" s="3" t="n"/>
      <c r="AN198" s="3" t="n"/>
      <c r="AT198" s="3" t="n"/>
      <c r="AU198" s="3" t="n"/>
      <c r="AV198" s="3" t="n"/>
      <c r="AW198" s="3" t="n"/>
      <c r="AX198" s="3" t="n"/>
      <c r="AY198" s="3" t="n"/>
    </row>
    <row r="199">
      <c r="A199" s="3" t="inlineStr">
        <is>
          <t>Wartortle - 008/165</t>
        </is>
      </c>
      <c r="B199" s="3" t="inlineStr">
        <is>
          <t>uncommon</t>
        </is>
      </c>
      <c r="C199" s="3" t="n">
        <v>62</v>
      </c>
      <c r="D199" s="3" t="n">
        <v>0.15</v>
      </c>
      <c r="E199" s="3" t="n">
        <v>0.28</v>
      </c>
      <c r="F199" s="3">
        <f>IF(B199="common", 4, IF(B199="uncommon", 3, IF(B199="rare", 0.73878, 1)))</f>
        <v/>
      </c>
      <c r="G199" s="3" t="n"/>
      <c r="H199" s="3" t="n"/>
      <c r="I199" s="3" t="n"/>
      <c r="J199" s="3" t="n"/>
      <c r="K199" s="3" t="n"/>
      <c r="L199" s="3" t="n"/>
      <c r="M199" s="3" t="n"/>
      <c r="N199" s="3" t="n"/>
      <c r="R199" s="3" t="n"/>
      <c r="S199" s="3" t="n"/>
      <c r="T199" s="3" t="n"/>
      <c r="U199" s="3" t="n"/>
      <c r="AA199">
        <f>E199 *1.88541666666666</f>
        <v/>
      </c>
      <c r="AB199" s="3">
        <f>1.88541666666666 * (E199 - AA199)^2</f>
        <v/>
      </c>
      <c r="AC199" s="3" t="n"/>
      <c r="AD199" s="3" t="n"/>
      <c r="AJ199" s="3" t="n"/>
      <c r="AK199" s="3" t="n"/>
      <c r="AL199" s="3" t="n"/>
      <c r="AM199" s="3" t="n"/>
      <c r="AN199" s="3" t="n"/>
      <c r="AT199" s="3" t="n"/>
      <c r="AU199" s="3" t="n"/>
      <c r="AV199" s="3" t="n"/>
      <c r="AW199" s="3" t="n"/>
      <c r="AX199" s="3" t="n"/>
      <c r="AY199" s="3" t="n"/>
    </row>
    <row r="200">
      <c r="A200" s="3" t="inlineStr">
        <is>
          <t>Wartortle - 171/165</t>
        </is>
      </c>
      <c r="B200" s="3" t="inlineStr">
        <is>
          <t>illustration rare</t>
        </is>
      </c>
      <c r="C200" s="3" t="n">
        <v>188</v>
      </c>
      <c r="D200" s="3" t="n">
        <v>26.55</v>
      </c>
      <c r="E200" s="3" t="n"/>
      <c r="F200" s="3">
        <f>IF(B200="common", 4, IF(B200="uncommon", 3, IF(B200="rare", 0.73878, 1)))</f>
        <v/>
      </c>
      <c r="G200" s="3" t="n"/>
      <c r="H200" s="3" t="n"/>
      <c r="I200" s="3" t="n"/>
      <c r="J200" s="3" t="n"/>
      <c r="K200" s="3" t="n"/>
      <c r="L200" s="3" t="n"/>
      <c r="M200" s="3" t="n"/>
      <c r="N200" s="3" t="n"/>
      <c r="R200" s="3" t="n"/>
      <c r="S200" s="3" t="n"/>
      <c r="T200" s="3" t="n"/>
      <c r="U200" s="3" t="n"/>
      <c r="AA200">
        <f>E200 *1.88541666666666</f>
        <v/>
      </c>
      <c r="AB200" s="3">
        <f>1.88541666666666 * (E200 - AA200)^2</f>
        <v/>
      </c>
      <c r="AC200" s="3" t="n"/>
      <c r="AD200" s="3" t="n"/>
      <c r="AJ200" s="3" t="n"/>
      <c r="AK200" s="3" t="n"/>
      <c r="AL200" s="3" t="n"/>
      <c r="AM200" s="3" t="n"/>
      <c r="AN200" s="3" t="n"/>
      <c r="AT200" s="3" t="n"/>
      <c r="AU200" s="3" t="n"/>
      <c r="AV200" s="3" t="n"/>
      <c r="AW200" s="3" t="n"/>
      <c r="AX200" s="3" t="n"/>
      <c r="AY200" s="3" t="n"/>
    </row>
    <row r="201">
      <c r="A201" s="3" t="inlineStr">
        <is>
          <t>Weedle</t>
        </is>
      </c>
      <c r="B201" s="3" t="inlineStr">
        <is>
          <t>common</t>
        </is>
      </c>
      <c r="C201" s="3" t="n">
        <v>66</v>
      </c>
      <c r="D201" s="3" t="n">
        <v>0.05</v>
      </c>
      <c r="E201" s="3" t="n">
        <v>0.18</v>
      </c>
      <c r="F201" s="3">
        <f>IF(B201="common", 4, IF(B201="uncommon", 3, IF(B201="rare", 0.73878, 1)))</f>
        <v/>
      </c>
      <c r="G201" s="3" t="n"/>
      <c r="H201" s="3" t="n"/>
      <c r="I201" s="3" t="n"/>
      <c r="J201" s="3" t="n"/>
      <c r="K201" s="3" t="n"/>
      <c r="L201" s="3" t="n"/>
      <c r="M201" s="3" t="n"/>
      <c r="N201" s="3" t="n"/>
      <c r="R201" s="3" t="n"/>
      <c r="S201" s="3" t="n"/>
      <c r="T201" s="3" t="n"/>
      <c r="U201" s="3" t="n"/>
      <c r="AA201">
        <f>E201 *1.88541666666666</f>
        <v/>
      </c>
      <c r="AB201" s="3">
        <f>1.88541666666666 * (E201 - AA201)^2</f>
        <v/>
      </c>
      <c r="AC201" s="3" t="n"/>
      <c r="AD201" s="3" t="n"/>
      <c r="AJ201" s="3" t="n"/>
      <c r="AK201" s="3" t="n"/>
      <c r="AL201" s="3" t="n"/>
      <c r="AM201" s="3" t="n"/>
      <c r="AN201" s="3" t="n"/>
      <c r="AT201" s="3" t="n"/>
      <c r="AU201" s="3" t="n"/>
      <c r="AV201" s="3" t="n"/>
      <c r="AW201" s="3" t="n"/>
      <c r="AX201" s="3" t="n"/>
      <c r="AY201" s="3" t="n"/>
    </row>
    <row r="202">
      <c r="A202" s="3" t="inlineStr">
        <is>
          <t>Weepinbell</t>
        </is>
      </c>
      <c r="B202" s="3" t="inlineStr">
        <is>
          <t>common</t>
        </is>
      </c>
      <c r="C202" s="3" t="n">
        <v>66</v>
      </c>
      <c r="D202" s="3" t="n">
        <v>0.1</v>
      </c>
      <c r="E202" s="3" t="n">
        <v>1.25</v>
      </c>
      <c r="F202" s="3">
        <f>IF(B202="common", 4, IF(B202="uncommon", 3, IF(B202="rare", 0.73878, 1)))</f>
        <v/>
      </c>
      <c r="G202" s="3" t="n"/>
      <c r="H202" s="3" t="n"/>
      <c r="I202" s="3" t="n"/>
      <c r="J202" s="3" t="n"/>
      <c r="K202" s="3" t="n"/>
      <c r="L202" s="3" t="n"/>
      <c r="M202" s="3" t="n"/>
      <c r="N202" s="3" t="n"/>
      <c r="R202" s="3" t="n"/>
      <c r="S202" s="3" t="n"/>
      <c r="T202" s="3" t="n"/>
      <c r="U202" s="3" t="n"/>
      <c r="AA202">
        <f>E202 *1.88541666666666</f>
        <v/>
      </c>
      <c r="AB202" s="3">
        <f>1.88541666666666 * (E202 - AA202)^2</f>
        <v/>
      </c>
      <c r="AC202" s="3" t="n"/>
      <c r="AD202" s="3" t="n"/>
      <c r="AJ202" s="3" t="n"/>
      <c r="AK202" s="3" t="n"/>
      <c r="AL202" s="3" t="n"/>
      <c r="AM202" s="3" t="n"/>
      <c r="AN202" s="3" t="n"/>
      <c r="AT202" s="3" t="n"/>
      <c r="AU202" s="3" t="n"/>
      <c r="AV202" s="3" t="n"/>
      <c r="AW202" s="3" t="n"/>
      <c r="AX202" s="3" t="n"/>
      <c r="AY202" s="3" t="n"/>
    </row>
    <row r="203">
      <c r="A203" s="3" t="inlineStr">
        <is>
          <t>Weezing</t>
        </is>
      </c>
      <c r="B203" s="3" t="inlineStr">
        <is>
          <t>rare</t>
        </is>
      </c>
      <c r="C203" s="3" t="n">
        <v>26</v>
      </c>
      <c r="D203" s="3" t="n">
        <v>0.17</v>
      </c>
      <c r="E203" s="3" t="n">
        <v>0.62</v>
      </c>
      <c r="F203" s="3">
        <f>IF(B203="common", 4, IF(B203="uncommon", 3, IF(B203="rare", 0.73878, 1)))</f>
        <v/>
      </c>
      <c r="G203" s="3" t="n"/>
      <c r="H203" s="3" t="n"/>
      <c r="I203" s="3" t="n"/>
      <c r="J203" s="3" t="n"/>
      <c r="K203" s="3" t="n"/>
      <c r="L203" s="3" t="n"/>
      <c r="M203" s="3" t="n"/>
      <c r="N203" s="3" t="n"/>
      <c r="R203" s="3" t="n"/>
      <c r="S203" s="3" t="n"/>
      <c r="T203" s="3" t="n"/>
      <c r="U203" s="3" t="n"/>
      <c r="AA203">
        <f>E203 *1.88541666666666</f>
        <v/>
      </c>
      <c r="AB203" s="3">
        <f>1.88541666666666 * (E203 - AA203)^2</f>
        <v/>
      </c>
      <c r="AC203" s="3" t="n"/>
      <c r="AD203" s="3" t="n"/>
      <c r="AJ203" s="3" t="n"/>
      <c r="AK203" s="3" t="n"/>
      <c r="AL203" s="3" t="n"/>
      <c r="AM203" s="3" t="n"/>
      <c r="AN203" s="3" t="n"/>
      <c r="AT203" s="3" t="n"/>
      <c r="AU203" s="3" t="n"/>
      <c r="AV203" s="3" t="n"/>
      <c r="AW203" s="3" t="n"/>
      <c r="AX203" s="3" t="n"/>
      <c r="AY203" s="3" t="n"/>
    </row>
    <row r="204">
      <c r="A204" s="3" t="inlineStr">
        <is>
          <t>Wigglytuff ex - 040/165</t>
        </is>
      </c>
      <c r="B204" s="3" t="inlineStr">
        <is>
          <t>double rare</t>
        </is>
      </c>
      <c r="C204" s="3" t="n">
        <v>90</v>
      </c>
      <c r="D204" s="3" t="n">
        <v>0.87</v>
      </c>
      <c r="E204" s="3" t="n"/>
      <c r="F204" s="3">
        <f>IF(B204="common", 4, IF(B204="uncommon", 3, IF(B204="rare", 0.73878, 1)))</f>
        <v/>
      </c>
      <c r="G204" s="3" t="n"/>
      <c r="H204" s="3" t="n"/>
      <c r="I204" s="3" t="n"/>
      <c r="J204" s="3" t="n"/>
      <c r="K204" s="3" t="n"/>
      <c r="L204" s="3" t="n"/>
      <c r="M204" s="3" t="n"/>
      <c r="N204" s="3" t="n"/>
      <c r="R204" s="3" t="n"/>
      <c r="S204" s="3" t="n"/>
      <c r="T204" s="3" t="n"/>
      <c r="U204" s="3" t="n"/>
      <c r="AA204">
        <f>E204 *1.88541666666666</f>
        <v/>
      </c>
      <c r="AB204" s="3">
        <f>1.88541666666666 * (E204 - AA204)^2</f>
        <v/>
      </c>
      <c r="AC204" s="3" t="n"/>
      <c r="AD204" s="3" t="n"/>
      <c r="AJ204" s="3" t="n"/>
      <c r="AK204" s="3" t="n"/>
      <c r="AL204" s="3" t="n"/>
      <c r="AM204" s="3" t="n"/>
      <c r="AN204" s="3" t="n"/>
      <c r="AT204" s="3" t="n"/>
      <c r="AU204" s="3" t="n"/>
      <c r="AV204" s="3" t="n"/>
      <c r="AW204" s="3" t="n"/>
      <c r="AX204" s="3" t="n"/>
      <c r="AY204" s="3" t="n"/>
    </row>
    <row r="205">
      <c r="A205" s="3" t="inlineStr">
        <is>
          <t>Wigglytuff ex - 187/165</t>
        </is>
      </c>
      <c r="B205" s="3" t="inlineStr">
        <is>
          <t>ultra rare</t>
        </is>
      </c>
      <c r="C205" s="3" t="n">
        <v>248</v>
      </c>
      <c r="D205" s="3" t="n">
        <v>5.68</v>
      </c>
      <c r="E205" s="3" t="n"/>
      <c r="F205" s="3">
        <f>IF(B205="common", 4, IF(B205="uncommon", 3, IF(B205="rare", 0.73878, 1)))</f>
        <v/>
      </c>
      <c r="G205" s="3" t="n"/>
      <c r="H205" s="3" t="n"/>
      <c r="I205" s="3" t="n"/>
      <c r="J205" s="3" t="n"/>
      <c r="K205" s="3" t="n"/>
      <c r="L205" s="3" t="n"/>
      <c r="M205" s="3" t="n"/>
      <c r="N205" s="3" t="n"/>
      <c r="R205" s="3" t="n"/>
      <c r="S205" s="3" t="n"/>
      <c r="T205" s="3" t="n"/>
      <c r="U205" s="3" t="n"/>
      <c r="AA205">
        <f>E205 *1.88541666666666</f>
        <v/>
      </c>
      <c r="AB205" s="3">
        <f>1.88541666666666 * (E205 - AA205)^2</f>
        <v/>
      </c>
      <c r="AC205" s="3" t="n"/>
      <c r="AD205" s="3" t="n"/>
      <c r="AJ205" s="3" t="n"/>
      <c r="AK205" s="3" t="n"/>
      <c r="AL205" s="3" t="n"/>
      <c r="AM205" s="3" t="n"/>
      <c r="AN205" s="3" t="n"/>
      <c r="AT205" s="3" t="n"/>
      <c r="AU205" s="3" t="n"/>
      <c r="AV205" s="3" t="n"/>
      <c r="AW205" s="3" t="n"/>
      <c r="AX205" s="3" t="n"/>
      <c r="AY205" s="3" t="n"/>
    </row>
    <row r="206">
      <c r="A206" s="3" t="inlineStr">
        <is>
          <t>Zapdos ex - 145/165</t>
        </is>
      </c>
      <c r="B206" s="3" t="inlineStr">
        <is>
          <t>double rare</t>
        </is>
      </c>
      <c r="C206" s="3" t="n">
        <v>90</v>
      </c>
      <c r="D206" s="3" t="n">
        <v>1.04</v>
      </c>
      <c r="E206" s="3" t="n"/>
      <c r="F206" s="3">
        <f>IF(B206="common", 4, IF(B206="uncommon", 3, IF(B206="rare", 0.73878, 1)))</f>
        <v/>
      </c>
      <c r="G206" s="3" t="n"/>
      <c r="H206" s="3" t="n"/>
      <c r="I206" s="3" t="n"/>
      <c r="J206" s="3" t="n"/>
      <c r="K206" s="3" t="n"/>
      <c r="L206" s="3" t="n"/>
      <c r="M206" s="3" t="n"/>
      <c r="N206" s="3" t="n"/>
      <c r="R206" s="3" t="n"/>
      <c r="S206" s="3" t="n"/>
      <c r="T206" s="3" t="n"/>
      <c r="U206" s="3" t="n"/>
      <c r="AA206">
        <f>E206 *1.88541666666666</f>
        <v/>
      </c>
      <c r="AB206" s="3">
        <f>1.88541666666666 * (E206 - AA206)^2</f>
        <v/>
      </c>
      <c r="AC206" s="3" t="n"/>
      <c r="AD206" s="3" t="n"/>
      <c r="AJ206" s="3" t="n"/>
      <c r="AK206" s="3" t="n"/>
      <c r="AL206" s="3" t="n"/>
      <c r="AM206" s="3" t="n"/>
      <c r="AN206" s="3" t="n"/>
      <c r="AT206" s="3" t="n"/>
      <c r="AU206" s="3" t="n"/>
      <c r="AV206" s="3" t="n"/>
      <c r="AW206" s="3" t="n"/>
      <c r="AX206" s="3" t="n"/>
      <c r="AY206" s="3" t="n"/>
    </row>
    <row r="207">
      <c r="A207" s="3" t="inlineStr">
        <is>
          <t>Zapdos ex - 192/165</t>
        </is>
      </c>
      <c r="B207" s="3" t="inlineStr">
        <is>
          <t>ultra rare</t>
        </is>
      </c>
      <c r="C207" s="3" t="n">
        <v>248</v>
      </c>
      <c r="D207" s="3" t="n">
        <v>8.01</v>
      </c>
      <c r="E207" s="3" t="n"/>
      <c r="F207" s="3">
        <f>IF(B207="common", 4, IF(B207="uncommon", 3, IF(B207="rare", 0.73878, 1)))</f>
        <v/>
      </c>
      <c r="G207" s="3" t="n"/>
      <c r="H207" s="3" t="n"/>
      <c r="I207" s="3" t="n"/>
      <c r="J207" s="3" t="n"/>
      <c r="K207" s="3" t="n"/>
      <c r="L207" s="3" t="n"/>
      <c r="M207" s="3" t="n"/>
      <c r="N207" s="3" t="n"/>
      <c r="R207" s="3" t="n"/>
      <c r="S207" s="3" t="n"/>
      <c r="T207" s="3" t="n"/>
      <c r="U207" s="3" t="n"/>
      <c r="AA207">
        <f>E207 *1.88541666666666</f>
        <v/>
      </c>
      <c r="AB207" s="3">
        <f>1.88541666666666 * (E207 - AA207)^2</f>
        <v/>
      </c>
      <c r="AC207" s="3" t="n"/>
      <c r="AD207" s="3" t="n"/>
      <c r="AJ207" s="3" t="n"/>
      <c r="AK207" s="3" t="n"/>
      <c r="AL207" s="3" t="n"/>
      <c r="AM207" s="3" t="n"/>
      <c r="AN207" s="3" t="n"/>
      <c r="AT207" s="3" t="n"/>
      <c r="AU207" s="3" t="n"/>
      <c r="AV207" s="3" t="n"/>
      <c r="AW207" s="3" t="n"/>
      <c r="AX207" s="3" t="n"/>
      <c r="AY207" s="3" t="n"/>
    </row>
    <row r="208">
      <c r="A208" s="3" t="inlineStr">
        <is>
          <t>Zapdos ex - 202/165</t>
        </is>
      </c>
      <c r="B208" s="3" t="inlineStr">
        <is>
          <t>special illustration rare</t>
        </is>
      </c>
      <c r="C208" s="3" t="n">
        <v>225</v>
      </c>
      <c r="D208" s="3" t="n">
        <v>59.23</v>
      </c>
      <c r="E208" s="3" t="n"/>
      <c r="F208" s="3">
        <f>IF(B208="common", 4, IF(B208="uncommon", 3, IF(B208="rare", 0.73878, 1)))</f>
        <v/>
      </c>
      <c r="G208" s="3" t="n"/>
      <c r="H208" s="3" t="n"/>
      <c r="I208" s="3" t="n"/>
      <c r="J208" s="3" t="n"/>
      <c r="K208" s="3" t="n"/>
      <c r="L208" s="3" t="n"/>
      <c r="M208" s="3" t="n"/>
      <c r="N208" s="3" t="n"/>
      <c r="R208" s="3" t="n"/>
      <c r="S208" s="3" t="n"/>
      <c r="T208" s="3" t="n"/>
      <c r="U208" s="3" t="n"/>
      <c r="AA208">
        <f>E208 *1.88541666666666</f>
        <v/>
      </c>
      <c r="AB208" s="3">
        <f>1.88541666666666 * (E208 - AA208)^2</f>
        <v/>
      </c>
      <c r="AC208" s="3" t="n"/>
      <c r="AD208" s="3" t="n"/>
      <c r="AJ208" s="3" t="n"/>
      <c r="AK208" s="3" t="n"/>
      <c r="AL208" s="3" t="n"/>
      <c r="AM208" s="3" t="n"/>
      <c r="AN208" s="3" t="n"/>
      <c r="AT208" s="3" t="n"/>
      <c r="AU208" s="3" t="n"/>
      <c r="AV208" s="3" t="n"/>
      <c r="AW208" s="3" t="n"/>
      <c r="AX208" s="3" t="n"/>
      <c r="AY208" s="3" t="n"/>
    </row>
    <row r="209">
      <c r="A209" s="3" t="inlineStr">
        <is>
          <t>Zubat</t>
        </is>
      </c>
      <c r="B209" s="3" t="inlineStr">
        <is>
          <t>common</t>
        </is>
      </c>
      <c r="C209" s="3" t="n">
        <v>66</v>
      </c>
      <c r="D209" s="3" t="n">
        <v>0.08</v>
      </c>
      <c r="E209" s="3" t="n">
        <v>0.15</v>
      </c>
      <c r="F209" s="3">
        <f>IF(B209="common", 4, IF(B209="uncommon", 3, IF(B209="rare", 0.73878, 1)))</f>
        <v/>
      </c>
      <c r="G209" s="3" t="n"/>
      <c r="H209" s="3" t="n"/>
      <c r="I209" s="3" t="n"/>
      <c r="J209" s="3" t="n"/>
      <c r="K209" s="3" t="n"/>
      <c r="L209" s="3" t="n"/>
      <c r="M209" s="3" t="n"/>
      <c r="N209" s="3" t="n"/>
      <c r="R209" s="3" t="n"/>
      <c r="S209" s="3" t="n"/>
      <c r="T209" s="3" t="n"/>
      <c r="U209" s="3" t="n"/>
      <c r="AA209">
        <f>E209 *1.88541666666666</f>
        <v/>
      </c>
      <c r="AB209" s="3">
        <f>1.88541666666666 * (E209 - AA209)^2</f>
        <v/>
      </c>
      <c r="AC209" s="3" t="n"/>
      <c r="AD209" s="3" t="n"/>
      <c r="AJ209" s="3" t="n"/>
      <c r="AK209" s="3" t="n"/>
      <c r="AL209" s="3" t="n"/>
      <c r="AM209" s="3" t="n"/>
      <c r="AN209" s="3" t="n"/>
      <c r="AT209" s="3" t="n"/>
      <c r="AU209" s="3" t="n"/>
      <c r="AV209" s="3" t="n"/>
      <c r="AW209" s="3" t="n"/>
      <c r="AX209" s="3" t="n"/>
      <c r="AY209" s="3" t="n"/>
    </row>
    <row r="210">
      <c r="A210" s="3" t="n"/>
      <c r="B210" s="3" t="n"/>
      <c r="C210" s="3" t="n"/>
      <c r="D210" s="3" t="n"/>
      <c r="E210" s="3" t="n"/>
      <c r="F210" s="3">
        <f>IF(B210="common", 4, IF(B210="uncommon", 3, IF(B210="rare", 0.73878, 1)))</f>
        <v/>
      </c>
      <c r="G210" s="3" t="n"/>
      <c r="H210" s="3" t="n"/>
      <c r="I210" s="3" t="n"/>
      <c r="J210" s="3" t="n"/>
      <c r="K210" s="3" t="n"/>
      <c r="L210" s="3" t="n"/>
      <c r="M210" s="3" t="n"/>
      <c r="N210" s="3" t="n"/>
      <c r="R210" s="3" t="n"/>
      <c r="S210" s="3" t="n"/>
      <c r="T210" s="3" t="n"/>
      <c r="U210" s="3" t="n"/>
      <c r="AA210">
        <f>E210 *1.88541666666666</f>
        <v/>
      </c>
      <c r="AB210" s="3">
        <f>1.88541666666666 * (E210 - AA210)^2</f>
        <v/>
      </c>
      <c r="AC210" s="3" t="n"/>
      <c r="AD210" s="3" t="n"/>
      <c r="AJ210" s="3" t="n"/>
      <c r="AK210" s="3" t="n"/>
      <c r="AL210" s="3" t="n"/>
      <c r="AM210" s="3" t="n"/>
      <c r="AN210" s="3" t="n"/>
      <c r="AT210" s="3" t="n"/>
      <c r="AU210" s="3" t="n"/>
      <c r="AV210" s="3" t="n"/>
      <c r="AW210" s="3" t="n"/>
      <c r="AX210" s="3" t="n"/>
      <c r="AY210" s="3" t="n"/>
    </row>
    <row r="211">
      <c r="A211" s="3" t="n"/>
      <c r="B211" s="3" t="n"/>
      <c r="C211" s="3" t="n"/>
      <c r="D211" s="3" t="n"/>
      <c r="E211" s="3" t="n"/>
      <c r="F211" s="3">
        <f>IF(B211="common", 4, IF(B211="uncommon", 3, IF(B211="rare", 0.73878, 1)))</f>
        <v/>
      </c>
      <c r="I211" s="3" t="n"/>
      <c r="J211" s="3" t="n"/>
      <c r="K211" s="3" t="n"/>
      <c r="L211" s="3" t="n"/>
      <c r="M211" s="3" t="n"/>
      <c r="N211" s="3" t="n"/>
      <c r="AY211" s="3" t="n"/>
    </row>
    <row r="212">
      <c r="A212" s="3" t="n"/>
      <c r="B212" s="3" t="n"/>
      <c r="C212" s="3" t="n"/>
      <c r="D212" s="3" t="n"/>
      <c r="E212" s="3" t="n"/>
      <c r="F212" s="3">
        <f>IF(B212="common", 4, IF(B212="uncommon", 3, IF(B212="rare", 0.73878, 1)))</f>
        <v/>
      </c>
      <c r="G212" s="3" t="n"/>
      <c r="H212" s="3" t="n"/>
      <c r="I212" s="3" t="n"/>
      <c r="J212" s="3" t="n"/>
      <c r="K212" s="3" t="n"/>
      <c r="L212" s="3" t="n"/>
      <c r="M212" s="3" t="n"/>
      <c r="N212" s="3" t="n"/>
      <c r="R212" s="3" t="n"/>
      <c r="S212" s="3" t="n"/>
      <c r="T212" s="3" t="n"/>
      <c r="U212" s="3" t="n"/>
      <c r="AY212" s="3" t="n"/>
    </row>
    <row r="213">
      <c r="A213" s="3" t="n"/>
      <c r="B213" s="3" t="n"/>
      <c r="C213" s="3" t="n"/>
      <c r="D213" s="3" t="n"/>
      <c r="E213" s="3" t="n"/>
      <c r="F213" s="3">
        <f>IF(B213="common", 4, IF(B213="uncommon", 3, IF(B213="rare", 0.73878, 1)))</f>
        <v/>
      </c>
      <c r="I213" s="3" t="n"/>
      <c r="J213" s="3" t="n"/>
      <c r="K213" s="3" t="n"/>
      <c r="L213" s="3" t="n"/>
      <c r="M213" s="3" t="n"/>
      <c r="N213" s="3" t="n"/>
      <c r="AY213" s="3" t="n"/>
    </row>
    <row r="214">
      <c r="A214" s="3" t="n"/>
      <c r="B214" s="3" t="n"/>
      <c r="C214" s="3" t="n"/>
      <c r="D214" s="3" t="n"/>
      <c r="E214" s="3" t="n"/>
      <c r="F214" s="3">
        <f>IF(B214="common", 4, IF(B214="uncommon", 3, IF(B214="rare", 0.73878, 1)))</f>
        <v/>
      </c>
      <c r="I214" s="3" t="n"/>
      <c r="J214" s="3" t="n"/>
      <c r="K214" s="3" t="n"/>
      <c r="L214" s="3" t="n"/>
      <c r="M214" s="3" t="n"/>
      <c r="N214" s="3" t="n"/>
      <c r="AY214" s="3" t="n"/>
    </row>
    <row r="215">
      <c r="A215" s="3" t="n"/>
      <c r="B215" s="3" t="n"/>
      <c r="C215" s="3" t="n"/>
      <c r="D215" s="3" t="n"/>
      <c r="E215" s="3" t="n"/>
      <c r="F215" s="3">
        <f>IF(B215="common", 4, IF(B215="uncommon", 3, IF(B215="rare", 0.73878, 1)))</f>
        <v/>
      </c>
      <c r="I215" s="3" t="n"/>
      <c r="J215" s="3" t="n"/>
      <c r="K215" s="3" t="n"/>
      <c r="L215" s="3" t="n"/>
      <c r="M215" s="3" t="n"/>
      <c r="N215" s="3" t="n"/>
      <c r="AY215" s="3" t="n"/>
    </row>
    <row r="216">
      <c r="A216" s="3" t="n"/>
      <c r="B216" s="3" t="n"/>
      <c r="C216" s="3" t="n"/>
      <c r="D216" s="3" t="n"/>
      <c r="E216" s="3" t="n"/>
      <c r="F216" s="3">
        <f>IF(B216="common", 4, IF(B216="uncommon", 3, IF(B216="rare", 0.73878, 1)))</f>
        <v/>
      </c>
      <c r="I216" s="3" t="n"/>
      <c r="J216" s="3" t="n"/>
      <c r="K216" s="3" t="n"/>
      <c r="L216" s="3" t="n"/>
      <c r="M216" s="3" t="n"/>
      <c r="N216" s="3" t="n"/>
      <c r="AY216" s="3" t="n"/>
    </row>
    <row r="217">
      <c r="A217" s="3" t="n"/>
      <c r="B217" s="3" t="n"/>
      <c r="C217" s="3" t="n"/>
      <c r="D217" s="3" t="n"/>
      <c r="E217" s="3" t="n"/>
      <c r="F217" s="3">
        <f>IF(B217="common", 4, IF(B217="uncommon", 3, IF(B217="rare", 0.73878, 1)))</f>
        <v/>
      </c>
      <c r="I217" s="3" t="n"/>
      <c r="J217" s="3" t="n"/>
      <c r="K217" s="3" t="n"/>
      <c r="L217" s="3" t="n"/>
      <c r="M217" s="3" t="n"/>
      <c r="N217" s="3" t="n"/>
      <c r="AY217" s="3" t="n"/>
    </row>
    <row r="218">
      <c r="A218" s="3" t="n"/>
      <c r="B218" s="3" t="n"/>
      <c r="C218" s="3" t="n"/>
      <c r="D218" s="3" t="n"/>
      <c r="E218" s="3" t="n"/>
      <c r="F218" s="3">
        <f>IF(B218="common", 4, IF(B218="uncommon", 3, IF(B218="rare", 0.73878, 1)))</f>
        <v/>
      </c>
      <c r="I218" s="3" t="n"/>
      <c r="J218" s="3" t="n"/>
      <c r="K218" s="3" t="n"/>
      <c r="L218" s="3" t="n"/>
      <c r="M218" s="3" t="n"/>
      <c r="N218" s="3" t="n"/>
      <c r="AY218" s="3" t="n"/>
    </row>
    <row r="219">
      <c r="A219" s="3" t="n"/>
      <c r="B219" s="3" t="n"/>
      <c r="C219" s="3" t="n"/>
      <c r="D219" s="3" t="n"/>
      <c r="E219" s="3" t="n"/>
      <c r="F219" s="3">
        <f>IF(B219="common", 4, IF(B219="uncommon", 3, IF(B219="rare", 0.73878, 1)))</f>
        <v/>
      </c>
      <c r="I219" s="3" t="n"/>
      <c r="J219" s="3" t="n"/>
      <c r="K219" s="3" t="n"/>
      <c r="L219" s="3" t="n"/>
      <c r="M219" s="3" t="n"/>
      <c r="N219" s="3" t="n"/>
      <c r="AY219" s="3" t="n"/>
    </row>
    <row r="220">
      <c r="A220" s="3" t="n"/>
      <c r="B220" s="3" t="n"/>
      <c r="C220" s="3" t="n"/>
      <c r="D220" s="3" t="n"/>
      <c r="E220" s="3" t="n"/>
      <c r="F220" s="3">
        <f>IF(B220="common", 4, IF(B220="uncommon", 3, IF(B220="rare", 0.73878, 1)))</f>
        <v/>
      </c>
      <c r="I220" s="3" t="n"/>
      <c r="J220" s="3" t="n"/>
      <c r="K220" s="3" t="n"/>
      <c r="L220" s="3" t="n"/>
      <c r="M220" s="3" t="n"/>
      <c r="N220" s="3" t="n"/>
      <c r="AY220" s="3" t="n"/>
    </row>
    <row r="221">
      <c r="A221" s="3" t="n"/>
      <c r="B221" s="3" t="n"/>
      <c r="C221" s="3" t="n"/>
      <c r="D221" s="3" t="n"/>
      <c r="E221" s="3" t="n"/>
      <c r="F221" s="3">
        <f>IF(B221="common", 4, IF(B221="uncommon", 3, IF(B221="rare", 0.73878, 1)))</f>
        <v/>
      </c>
      <c r="I221" s="3" t="n"/>
      <c r="J221" s="3" t="n"/>
      <c r="K221" s="3" t="n"/>
      <c r="L221" s="3" t="n"/>
      <c r="M221" s="3" t="n"/>
      <c r="N221" s="3" t="n"/>
      <c r="AY221" s="3" t="n"/>
    </row>
    <row r="222">
      <c r="A222" s="3" t="n"/>
      <c r="B222" s="3" t="n"/>
      <c r="C222" s="3" t="n"/>
      <c r="D222" s="3" t="n"/>
      <c r="E222" s="3" t="n"/>
      <c r="F222" s="3">
        <f>IF(B222="common", 4, IF(B222="uncommon", 3, IF(B222="rare", 0.73878, 1)))</f>
        <v/>
      </c>
      <c r="I222" s="3" t="n"/>
      <c r="J222" s="3" t="n"/>
      <c r="K222" s="3" t="n"/>
      <c r="L222" s="3" t="n"/>
      <c r="M222" s="3" t="n"/>
      <c r="N222" s="3" t="n"/>
      <c r="AY222" s="3" t="n"/>
    </row>
    <row r="223">
      <c r="A223" s="3" t="n"/>
      <c r="B223" s="3" t="n"/>
      <c r="C223" s="3" t="n"/>
      <c r="D223" s="3" t="n"/>
      <c r="E223" s="3" t="n"/>
      <c r="F223" s="3">
        <f>IF(B223="common", 4, IF(B223="uncommon", 3, IF(B223="rare", 0.73878, 1)))</f>
        <v/>
      </c>
      <c r="I223" s="3" t="n"/>
      <c r="J223" s="3" t="n"/>
      <c r="K223" s="3" t="n"/>
      <c r="L223" s="3" t="n"/>
      <c r="M223" s="3" t="n"/>
      <c r="N223" s="3" t="n"/>
      <c r="AY223" s="3" t="n"/>
    </row>
    <row r="224">
      <c r="A224" s="3" t="n"/>
      <c r="B224" s="3" t="n"/>
      <c r="C224" s="3" t="n"/>
      <c r="D224" s="3" t="n"/>
      <c r="E224" s="3" t="n"/>
      <c r="F224" s="3">
        <f>IF(B224="common", 4, IF(B224="uncommon", 3, IF(B224="rare", 0.73878, 1)))</f>
        <v/>
      </c>
      <c r="I224" s="3" t="n"/>
      <c r="J224" s="3" t="n"/>
      <c r="K224" s="3" t="n"/>
      <c r="L224" s="3" t="n"/>
      <c r="M224" s="3" t="n"/>
      <c r="N224" s="3" t="n"/>
      <c r="AY224" s="3" t="n"/>
    </row>
    <row r="225">
      <c r="A225" s="3" t="n"/>
      <c r="B225" s="3" t="n"/>
      <c r="C225" s="3" t="n"/>
      <c r="D225" s="3" t="n"/>
      <c r="E225" s="3" t="n"/>
      <c r="F225" s="3">
        <f>IF(B225="common", 4, IF(B225="uncommon", 3, IF(B225="rare", 0.73878, 1)))</f>
        <v/>
      </c>
      <c r="I225" s="3" t="n"/>
      <c r="J225" s="3" t="n"/>
      <c r="K225" s="3" t="n"/>
      <c r="L225" s="3" t="n"/>
      <c r="M225" s="3" t="n"/>
      <c r="N225" s="3" t="n"/>
      <c r="AY225" s="3" t="n"/>
    </row>
    <row r="226">
      <c r="A226" s="3" t="n"/>
      <c r="B226" s="3" t="n"/>
      <c r="C226" s="3" t="n"/>
      <c r="D226" s="3" t="n"/>
      <c r="E226" s="3" t="n"/>
      <c r="F226" s="3">
        <f>IF(B226="common", 4, IF(B226="uncommon", 3, IF(B226="rare", 0.73878, 1)))</f>
        <v/>
      </c>
      <c r="I226" s="3" t="n"/>
      <c r="J226" s="3" t="n"/>
      <c r="K226" s="3" t="n"/>
      <c r="L226" s="3" t="n"/>
      <c r="M226" s="3" t="n"/>
      <c r="N226" s="3" t="n"/>
      <c r="AY226" s="3" t="n"/>
    </row>
    <row r="227">
      <c r="A227" s="3" t="n"/>
      <c r="B227" s="3" t="n"/>
      <c r="C227" s="3" t="n"/>
      <c r="D227" s="3" t="n"/>
      <c r="E227" s="3" t="n"/>
      <c r="F227" s="3">
        <f>IF(B227="common", 4, IF(B227="uncommon", 3, IF(B227="rare", 0.73878, 1)))</f>
        <v/>
      </c>
      <c r="I227" s="3" t="n"/>
      <c r="J227" s="3" t="n"/>
      <c r="K227" s="3" t="n"/>
      <c r="L227" s="3" t="n"/>
      <c r="M227" s="3" t="n"/>
      <c r="N227" s="3" t="n"/>
      <c r="AY227" s="3" t="n"/>
    </row>
    <row r="228">
      <c r="A228" s="3" t="n"/>
      <c r="B228" s="3" t="n"/>
      <c r="C228" s="3" t="n"/>
      <c r="D228" s="3" t="n"/>
      <c r="E228" s="3" t="n"/>
      <c r="F228" s="3">
        <f>IF(B228="common", 4, IF(B228="uncommon", 3, IF(B228="rare", 0.73878, 1)))</f>
        <v/>
      </c>
      <c r="I228" s="3" t="n"/>
      <c r="J228" s="3" t="n"/>
      <c r="K228" s="3" t="n"/>
      <c r="L228" s="3" t="n"/>
      <c r="M228" s="3" t="n"/>
      <c r="N228" s="3" t="n"/>
      <c r="AY228" s="3" t="n"/>
    </row>
    <row r="229">
      <c r="A229" s="3" t="n"/>
      <c r="B229" s="3" t="n"/>
      <c r="C229" s="3" t="n"/>
      <c r="D229" s="3" t="n"/>
      <c r="E229" s="3" t="n"/>
      <c r="F229" s="3">
        <f>IF(B229="common", 4, IF(B229="uncommon", 3, IF(B229="rare", 0.73878, 1)))</f>
        <v/>
      </c>
      <c r="I229" s="3" t="n"/>
      <c r="J229" s="3" t="n"/>
      <c r="K229" s="3" t="n"/>
      <c r="L229" s="3" t="n"/>
      <c r="M229" s="3" t="n"/>
      <c r="N229" s="3" t="n"/>
      <c r="AY229" s="3" t="n"/>
    </row>
    <row r="230">
      <c r="A230" s="3" t="n"/>
      <c r="B230" s="3" t="n"/>
      <c r="C230" s="3" t="n"/>
      <c r="D230" s="3" t="n"/>
      <c r="E230" s="3" t="n"/>
      <c r="F230" s="3">
        <f>IF(B230="common", 4, IF(B230="uncommon", 3, IF(B230="rare", 0.73878, 1)))</f>
        <v/>
      </c>
      <c r="I230" s="3" t="n"/>
      <c r="J230" s="3" t="n"/>
      <c r="K230" s="3" t="n"/>
      <c r="L230" s="3" t="n"/>
      <c r="M230" s="3" t="n"/>
      <c r="N230" s="3" t="n"/>
      <c r="AY230" s="3" t="n"/>
    </row>
    <row r="231">
      <c r="A231" s="3" t="n"/>
      <c r="B231" s="3" t="n"/>
      <c r="C231" s="3" t="n"/>
      <c r="D231" s="3" t="n"/>
      <c r="E231" s="3" t="n"/>
      <c r="F231" s="3">
        <f>IF(B231="common", 4, IF(B231="uncommon", 3, IF(B231="rare", 0.73878, 1)))</f>
        <v/>
      </c>
      <c r="I231" s="3" t="n"/>
      <c r="J231" s="3" t="n"/>
      <c r="K231" s="3" t="n"/>
      <c r="L231" s="3" t="n"/>
      <c r="M231" s="3" t="n"/>
      <c r="N231" s="3" t="n"/>
      <c r="AY231" s="3" t="n"/>
    </row>
    <row r="232">
      <c r="A232" s="3" t="n"/>
      <c r="B232" s="3" t="n"/>
      <c r="C232" s="3" t="n"/>
      <c r="D232" s="3" t="n"/>
      <c r="E232" s="3" t="n"/>
      <c r="F232" s="3">
        <f>IF(B232="common", 4, IF(B232="uncommon", 3, IF(B232="rare", 0.73878, 1)))</f>
        <v/>
      </c>
      <c r="I232" s="3" t="n"/>
      <c r="J232" s="3" t="n"/>
      <c r="K232" s="3" t="n"/>
      <c r="L232" s="3" t="n"/>
      <c r="M232" s="3" t="n"/>
      <c r="N232" s="3" t="n"/>
      <c r="AY232" s="3" t="n"/>
    </row>
    <row r="233">
      <c r="A233" s="3" t="n"/>
      <c r="B233" s="3" t="n"/>
      <c r="C233" s="3" t="n"/>
      <c r="D233" s="3" t="n"/>
      <c r="E233" s="3" t="n"/>
      <c r="F233" s="3">
        <f>IF(B233="common", 4, IF(B233="uncommon", 3, IF(B233="rare", 0.73878, 1)))</f>
        <v/>
      </c>
      <c r="I233" s="3" t="n"/>
      <c r="J233" s="3" t="n"/>
      <c r="K233" s="3" t="n"/>
      <c r="L233" s="3" t="n"/>
      <c r="M233" s="3" t="n"/>
      <c r="N233" s="3" t="n"/>
      <c r="AY233" s="3" t="n"/>
    </row>
    <row r="234">
      <c r="A234" s="3" t="n"/>
      <c r="B234" s="3" t="n"/>
      <c r="C234" s="3" t="n"/>
      <c r="D234" s="3" t="n"/>
      <c r="E234" s="3" t="n"/>
      <c r="F234" s="3">
        <f>IF(B234="common", 4, IF(B234="uncommon", 3, IF(B234="rare", 0.73878, 1)))</f>
        <v/>
      </c>
      <c r="I234" s="3" t="n"/>
      <c r="J234" s="3" t="n"/>
      <c r="K234" s="3" t="n"/>
      <c r="L234" s="3" t="n"/>
      <c r="M234" s="3" t="n"/>
      <c r="N234" s="3" t="n"/>
      <c r="AY234" s="3" t="n"/>
    </row>
    <row r="235">
      <c r="A235" s="3" t="n"/>
      <c r="B235" s="3" t="n"/>
      <c r="C235" s="3" t="n"/>
      <c r="D235" s="3" t="n"/>
      <c r="E235" s="3" t="n"/>
      <c r="F235" s="3">
        <f>IF(B235="common", 4, IF(B235="uncommon", 3, IF(B235="rare", 0.73878, 1)))</f>
        <v/>
      </c>
      <c r="I235" s="3" t="n"/>
      <c r="J235" s="3" t="n"/>
      <c r="K235" s="3" t="n"/>
      <c r="L235" s="3" t="n"/>
      <c r="M235" s="3" t="n"/>
      <c r="N235" s="3" t="n"/>
      <c r="AY235" s="3" t="n"/>
    </row>
    <row r="236">
      <c r="A236" s="3" t="n"/>
      <c r="B236" s="3" t="n"/>
      <c r="C236" s="3" t="n"/>
      <c r="D236" s="3" t="n"/>
      <c r="E236" s="3" t="n"/>
      <c r="F236" s="3">
        <f>IF(B236="common", 4, IF(B236="uncommon", 3, IF(B236="rare", 0.73878, 1)))</f>
        <v/>
      </c>
      <c r="I236" s="3" t="n"/>
      <c r="J236" s="3" t="n"/>
      <c r="K236" s="3" t="n"/>
      <c r="L236" s="3" t="n"/>
      <c r="M236" s="3" t="n"/>
      <c r="N236" s="3" t="n"/>
      <c r="AY236" s="3" t="n"/>
    </row>
    <row r="237">
      <c r="A237" s="3" t="n"/>
      <c r="B237" s="3" t="n"/>
      <c r="C237" s="3" t="n"/>
      <c r="D237" s="3" t="n"/>
      <c r="E237" s="3" t="n"/>
      <c r="F237" s="3">
        <f>IF(B237="common", 4, IF(B237="uncommon", 3, IF(B237="rare", 0.73878, 1)))</f>
        <v/>
      </c>
      <c r="I237" s="3" t="n"/>
      <c r="J237" s="3" t="n"/>
      <c r="K237" s="3" t="n"/>
      <c r="L237" s="3" t="n"/>
      <c r="M237" s="3" t="n"/>
      <c r="N237" s="3" t="n"/>
      <c r="AY237" s="3" t="n"/>
    </row>
    <row r="238">
      <c r="A238" s="3" t="n"/>
      <c r="B238" s="3" t="n"/>
      <c r="C238" s="3" t="n"/>
      <c r="D238" s="3" t="n"/>
      <c r="E238" s="3" t="n"/>
      <c r="F238" s="3">
        <f>IF(B238="common", 4, IF(B238="uncommon", 3, IF(B238="rare", 0.73878, 1)))</f>
        <v/>
      </c>
      <c r="I238" s="3" t="n"/>
      <c r="J238" s="3" t="n"/>
      <c r="K238" s="3" t="n"/>
      <c r="L238" s="3" t="n"/>
      <c r="M238" s="3" t="n"/>
      <c r="N238" s="3" t="n"/>
      <c r="AY238" s="3" t="n"/>
    </row>
    <row r="239">
      <c r="A239" s="3" t="n"/>
      <c r="B239" s="3" t="n"/>
      <c r="C239" s="3" t="n"/>
      <c r="D239" s="3" t="n"/>
      <c r="E239" s="3" t="n"/>
      <c r="F239" s="3">
        <f>IF(B239="common", 4, IF(B239="uncommon", 3, IF(B239="rare", 0.73878, 1)))</f>
        <v/>
      </c>
      <c r="I239" s="3" t="n"/>
      <c r="J239" s="3" t="n"/>
      <c r="K239" s="3" t="n"/>
      <c r="L239" s="3" t="n"/>
      <c r="M239" s="3" t="n"/>
      <c r="N239" s="3" t="n"/>
      <c r="AY239" s="3" t="n"/>
    </row>
    <row r="240">
      <c r="A240" s="3" t="n"/>
      <c r="B240" s="3" t="n"/>
      <c r="C240" s="3" t="n"/>
      <c r="D240" s="3" t="n"/>
      <c r="E240" s="3" t="n"/>
      <c r="F240" s="3">
        <f>IF(B240="common", 4, IF(B240="uncommon", 3, IF(B240="rare", 0.73878, 1)))</f>
        <v/>
      </c>
      <c r="I240" s="3" t="n"/>
      <c r="J240" s="3" t="n"/>
      <c r="K240" s="3" t="n"/>
      <c r="L240" s="3" t="n"/>
      <c r="M240" s="3" t="n"/>
      <c r="N240" s="3" t="n"/>
      <c r="AY240" s="3" t="n"/>
    </row>
    <row r="241">
      <c r="A241" s="3" t="n"/>
      <c r="B241" s="3" t="n"/>
      <c r="C241" s="3" t="n"/>
      <c r="D241" s="3" t="n"/>
      <c r="E241" s="3" t="n"/>
      <c r="F241" s="3">
        <f>IF(B241="common", 4, IF(B241="uncommon", 3, IF(B241="rare", 0.73878, 1)))</f>
        <v/>
      </c>
      <c r="I241" s="3" t="n"/>
      <c r="J241" s="3" t="n"/>
      <c r="K241" s="3" t="n"/>
      <c r="L241" s="3" t="n"/>
      <c r="M241" s="3" t="n"/>
      <c r="N241" s="3" t="n"/>
      <c r="AY241" s="3" t="n"/>
    </row>
    <row r="242">
      <c r="A242" s="3" t="n"/>
      <c r="B242" s="3" t="n"/>
      <c r="C242" s="3" t="n"/>
      <c r="D242" s="3" t="n"/>
      <c r="E242" s="3" t="n"/>
      <c r="F242" s="3">
        <f>IF(B242="common", 4, IF(B242="uncommon", 3, IF(B242="rare", 0.73878, 1)))</f>
        <v/>
      </c>
      <c r="I242" s="3" t="n"/>
      <c r="J242" s="3" t="n"/>
      <c r="K242" s="3" t="n"/>
      <c r="L242" s="3" t="n"/>
      <c r="M242" s="3" t="n"/>
      <c r="N242" s="3" t="n"/>
      <c r="AY242" s="3" t="n"/>
    </row>
    <row r="243">
      <c r="A243" s="3" t="n"/>
      <c r="B243" s="3" t="n"/>
      <c r="C243" s="3" t="n"/>
      <c r="D243" s="3" t="n"/>
      <c r="E243" s="3" t="n"/>
      <c r="F243" s="3">
        <f>IF(B243="common", 4, IF(B243="uncommon", 3, IF(B243="rare", 0.73878, 1)))</f>
        <v/>
      </c>
      <c r="I243" s="3" t="n"/>
      <c r="J243" s="3" t="n"/>
      <c r="K243" s="3" t="n"/>
      <c r="L243" s="3" t="n"/>
      <c r="M243" s="3" t="n"/>
      <c r="N243" s="3" t="n"/>
      <c r="AY243" s="3" t="n"/>
    </row>
    <row r="244">
      <c r="A244" s="3" t="n"/>
      <c r="B244" s="3" t="n"/>
      <c r="C244" s="3" t="n"/>
      <c r="D244" s="3" t="n"/>
      <c r="E244" s="3" t="n"/>
      <c r="F244" s="3">
        <f>IF(B244="common", 4, IF(B244="uncommon", 3, IF(B244="rare", 0.73878, 1)))</f>
        <v/>
      </c>
      <c r="I244" s="3" t="n"/>
      <c r="J244" s="3" t="n"/>
      <c r="K244" s="3" t="n"/>
      <c r="L244" s="3" t="n"/>
      <c r="M244" s="3" t="n"/>
      <c r="N244" s="3" t="n"/>
      <c r="AY244" s="3" t="n"/>
    </row>
    <row r="245">
      <c r="A245" s="3" t="n"/>
      <c r="B245" s="3" t="n"/>
      <c r="C245" s="3" t="n"/>
      <c r="D245" s="3" t="n"/>
      <c r="E245" s="3" t="n"/>
      <c r="F245" s="3">
        <f>IF(B245="common", 4, IF(B245="uncommon", 3, IF(B245="rare", 0.73878, 1)))</f>
        <v/>
      </c>
      <c r="I245" s="3" t="n"/>
      <c r="J245" s="3" t="n"/>
      <c r="K245" s="3" t="n"/>
      <c r="L245" s="3" t="n"/>
      <c r="M245" s="3" t="n"/>
      <c r="N245" s="3" t="n"/>
      <c r="AY245" s="3" t="n"/>
    </row>
    <row r="246">
      <c r="A246" s="3" t="n"/>
      <c r="B246" s="3" t="n"/>
      <c r="C246" s="3" t="n"/>
      <c r="D246" s="3" t="n"/>
      <c r="E246" s="3" t="n"/>
      <c r="F246" s="3">
        <f>IF(B246="common", 4, IF(B246="uncommon", 3, IF(B246="rare", 0.73878, 1)))</f>
        <v/>
      </c>
      <c r="I246" s="3" t="n"/>
      <c r="J246" s="3" t="n"/>
      <c r="K246" s="3" t="n"/>
      <c r="L246" s="3" t="n"/>
      <c r="M246" s="3" t="n"/>
      <c r="N246" s="3" t="n"/>
      <c r="AY246" s="3" t="n"/>
    </row>
    <row r="247">
      <c r="A247" s="3" t="n"/>
      <c r="B247" s="3" t="n"/>
      <c r="C247" s="3" t="n"/>
      <c r="D247" s="3" t="n"/>
      <c r="E247" s="3" t="n"/>
      <c r="F247" s="3">
        <f>IF(B247="common", 4, IF(B247="uncommon", 3, IF(B247="rare", 0.73878, 1)))</f>
        <v/>
      </c>
      <c r="I247" s="3" t="n"/>
      <c r="J247" s="3" t="n"/>
      <c r="K247" s="3" t="n"/>
      <c r="L247" s="3" t="n"/>
      <c r="M247" s="3" t="n"/>
      <c r="N247" s="3" t="n"/>
      <c r="AY247" s="3" t="n"/>
    </row>
    <row r="248">
      <c r="A248" s="3" t="n"/>
      <c r="B248" s="3" t="n"/>
      <c r="C248" s="3" t="n"/>
      <c r="D248" s="3" t="n"/>
      <c r="E248" s="3" t="n"/>
      <c r="F248" s="3">
        <f>IF(B248="common", 4, IF(B248="uncommon", 3, IF(B248="rare", 0.73878, 1)))</f>
        <v/>
      </c>
      <c r="I248" s="3" t="n"/>
      <c r="J248" s="3" t="n"/>
      <c r="K248" s="3" t="n"/>
      <c r="L248" s="3" t="n"/>
      <c r="M248" s="3" t="n"/>
      <c r="N248" s="3" t="n"/>
      <c r="AY248" s="3" t="n"/>
    </row>
    <row r="249">
      <c r="A249" s="3" t="n"/>
      <c r="B249" s="3" t="n"/>
      <c r="C249" s="3" t="n"/>
      <c r="D249" s="3" t="n"/>
      <c r="E249" s="3" t="n"/>
      <c r="F249" s="3">
        <f>IF(B249="common", 4, IF(B249="uncommon", 3, IF(B249="rare", 0.73878, 1)))</f>
        <v/>
      </c>
      <c r="I249" s="3" t="n"/>
      <c r="J249" s="3" t="n"/>
      <c r="K249" s="3" t="n"/>
      <c r="L249" s="3" t="n"/>
      <c r="M249" s="3" t="n"/>
      <c r="N249" s="3" t="n"/>
      <c r="AY249" s="3" t="n"/>
    </row>
    <row r="250">
      <c r="A250" s="3" t="n"/>
      <c r="B250" s="3" t="n"/>
      <c r="C250" s="3" t="n"/>
      <c r="D250" s="3" t="n"/>
      <c r="E250" s="3" t="n"/>
      <c r="F250" s="3">
        <f>IF(B250="common", 4, IF(B250="uncommon", 3, IF(B250="rare", 0.73878, 1)))</f>
        <v/>
      </c>
      <c r="I250" s="3" t="n"/>
      <c r="J250" s="3" t="n"/>
      <c r="K250" s="3" t="n"/>
      <c r="L250" s="3" t="n"/>
      <c r="M250" s="3" t="n"/>
      <c r="N250" s="3" t="n"/>
      <c r="AY250" s="3" t="n"/>
    </row>
    <row r="251">
      <c r="A251" s="3" t="n"/>
      <c r="B251" s="3" t="n"/>
      <c r="C251" s="3" t="n"/>
      <c r="D251" s="3" t="n"/>
      <c r="E251" s="3" t="n"/>
      <c r="F251" s="3">
        <f>IF(B251="common", 4, IF(B251="uncommon", 3, IF(B251="rare", 0.73878, 1)))</f>
        <v/>
      </c>
      <c r="I251" s="3" t="n"/>
      <c r="J251" s="3" t="n"/>
      <c r="K251" s="3" t="n"/>
      <c r="L251" s="3" t="n"/>
      <c r="M251" s="3" t="n"/>
      <c r="N251" s="3" t="n"/>
      <c r="AY251" s="3" t="n"/>
    </row>
    <row r="252">
      <c r="A252" s="3" t="n"/>
      <c r="B252" s="3" t="n"/>
      <c r="C252" s="3" t="n"/>
      <c r="D252" s="3" t="n"/>
      <c r="E252" s="3" t="n"/>
      <c r="F252" s="3">
        <f>IF(B252="common", 4, IF(B252="uncommon", 3, IF(B252="rare", 0.73878, 1)))</f>
        <v/>
      </c>
      <c r="I252" s="3" t="n"/>
      <c r="J252" s="3" t="n"/>
      <c r="K252" s="3" t="n"/>
      <c r="L252" s="3" t="n"/>
      <c r="M252" s="3" t="n"/>
      <c r="N252" s="3" t="n"/>
      <c r="AY252" s="3" t="n"/>
    </row>
    <row r="253">
      <c r="A253" s="3" t="n"/>
      <c r="B253" s="3" t="n"/>
      <c r="C253" s="3" t="n"/>
      <c r="D253" s="3" t="n"/>
      <c r="E253" s="3" t="n"/>
      <c r="F253" s="3">
        <f>IF(B253="common", 4, IF(B253="uncommon", 3, IF(B253="rare", 0.73878, 1)))</f>
        <v/>
      </c>
      <c r="I253" s="3" t="n"/>
      <c r="J253" s="3" t="n"/>
      <c r="K253" s="3" t="n"/>
      <c r="L253" s="3" t="n"/>
      <c r="M253" s="3" t="n"/>
      <c r="N253" s="3" t="n"/>
      <c r="AY253" s="3" t="n"/>
    </row>
    <row r="254">
      <c r="A254" s="3" t="n"/>
      <c r="B254" s="3" t="n"/>
      <c r="C254" s="3" t="n"/>
      <c r="D254" s="3" t="n"/>
      <c r="E254" s="3" t="n"/>
      <c r="F254" s="3">
        <f>IF(B254="common", 4, IF(B254="uncommon", 3, IF(B254="rare", 0.73878, 1)))</f>
        <v/>
      </c>
      <c r="I254" s="3" t="n"/>
      <c r="J254" s="3" t="n"/>
      <c r="K254" s="3" t="n"/>
      <c r="L254" s="3" t="n"/>
      <c r="M254" s="3" t="n"/>
      <c r="N254" s="3" t="n"/>
      <c r="AY254" s="3" t="n"/>
    </row>
    <row r="255">
      <c r="A255" s="3" t="n"/>
      <c r="B255" s="3" t="n"/>
      <c r="C255" s="3" t="n"/>
      <c r="D255" s="3" t="n"/>
      <c r="E255" s="3" t="n"/>
      <c r="F255" s="3">
        <f>IF(B255="common", 4, IF(B255="uncommon", 3, IF(B255="rare", 0.73878, 1)))</f>
        <v/>
      </c>
      <c r="I255" s="3" t="n"/>
      <c r="J255" s="3" t="n"/>
      <c r="K255" s="3" t="n"/>
      <c r="L255" s="3" t="n"/>
      <c r="M255" s="3" t="n"/>
      <c r="N255" s="3" t="n"/>
      <c r="AY255" s="3" t="n"/>
    </row>
    <row r="256">
      <c r="A256" s="3" t="n"/>
      <c r="B256" s="3" t="n"/>
      <c r="C256" s="3" t="n"/>
      <c r="D256" s="3" t="n"/>
      <c r="E256" s="3" t="n"/>
      <c r="F256" s="3">
        <f>IF(B256="common", 4, IF(B256="uncommon", 3, IF(B256="rare", 0.73878, 1)))</f>
        <v/>
      </c>
      <c r="I256" s="3" t="n"/>
      <c r="J256" s="3" t="n"/>
      <c r="K256" s="3" t="n"/>
      <c r="L256" s="3" t="n"/>
      <c r="M256" s="3" t="n"/>
      <c r="N256" s="3" t="n"/>
      <c r="AY256" s="3" t="n"/>
    </row>
    <row r="257">
      <c r="A257" s="3" t="n"/>
      <c r="B257" s="3" t="n"/>
      <c r="C257" s="3" t="n"/>
      <c r="D257" s="3" t="n"/>
      <c r="E257" s="3" t="n"/>
      <c r="F257" s="3">
        <f>IF(B257="common", 4, IF(B257="uncommon", 3, IF(B257="rare", 0.73878, 1)))</f>
        <v/>
      </c>
      <c r="I257" s="3" t="n"/>
      <c r="J257" s="3" t="n"/>
      <c r="K257" s="3" t="n"/>
      <c r="L257" s="3" t="n"/>
      <c r="M257" s="3" t="n"/>
      <c r="N257" s="3" t="n"/>
      <c r="AY257" s="3" t="n"/>
    </row>
    <row r="258">
      <c r="A258" s="3" t="n"/>
      <c r="B258" s="3" t="n"/>
      <c r="C258" s="3" t="n"/>
      <c r="D258" s="3" t="n"/>
      <c r="E258" s="3" t="n"/>
      <c r="F258" s="3">
        <f>IF(B258="common", 4, IF(B258="uncommon", 3, IF(B258="rare", 0.73878, 1)))</f>
        <v/>
      </c>
      <c r="I258" s="3" t="n"/>
      <c r="J258" s="3" t="n"/>
      <c r="K258" s="3" t="n"/>
      <c r="L258" s="3" t="n"/>
      <c r="M258" s="3" t="n"/>
      <c r="N258" s="3" t="n"/>
      <c r="AY258" s="3" t="n"/>
    </row>
    <row r="259">
      <c r="A259" s="3" t="n"/>
      <c r="B259" s="3" t="n"/>
      <c r="C259" s="3" t="n"/>
      <c r="D259" s="3" t="n"/>
      <c r="E259" s="3" t="n"/>
      <c r="F259" s="3">
        <f>IF(B259="common", 4, IF(B259="uncommon", 3, IF(B259="rare", 0.73878, 1)))</f>
        <v/>
      </c>
      <c r="I259" s="3" t="n"/>
      <c r="J259" s="3" t="n"/>
      <c r="K259" s="3" t="n"/>
      <c r="L259" s="3" t="n"/>
      <c r="M259" s="3" t="n"/>
      <c r="N259" s="3" t="n"/>
      <c r="AY259" s="3" t="n"/>
    </row>
    <row r="260">
      <c r="A260" s="3" t="n"/>
      <c r="B260" s="3" t="n"/>
      <c r="C260" s="3" t="n"/>
      <c r="D260" s="3" t="n"/>
      <c r="E260" s="3" t="n"/>
      <c r="F260" s="3">
        <f>IF(B260="common", 4, IF(B260="uncommon", 3, IF(B260="rare", 0.73878, 1)))</f>
        <v/>
      </c>
      <c r="I260" s="3" t="n"/>
      <c r="J260" s="3" t="n"/>
      <c r="K260" s="3" t="n"/>
      <c r="L260" s="3" t="n"/>
      <c r="M260" s="3" t="n"/>
      <c r="N260" s="3" t="n"/>
      <c r="AY260" s="3" t="n"/>
    </row>
    <row r="261">
      <c r="A261" s="3" t="n"/>
      <c r="B261" s="3" t="n"/>
      <c r="C261" s="3" t="n"/>
      <c r="D261" s="3" t="n"/>
      <c r="E261" s="3" t="n"/>
      <c r="F261" s="3">
        <f>IF(B261="common", 4, IF(B261="uncommon", 3, IF(B261="rare", 0.73878, 1)))</f>
        <v/>
      </c>
      <c r="I261" s="3" t="n"/>
      <c r="J261" s="3" t="n"/>
      <c r="K261" s="3" t="n"/>
      <c r="L261" s="3" t="n"/>
      <c r="M261" s="3" t="n"/>
      <c r="N261" s="3" t="n"/>
      <c r="AY261" s="3" t="n"/>
    </row>
    <row r="262">
      <c r="A262" s="3" t="n"/>
      <c r="B262" s="3" t="n"/>
      <c r="C262" s="3" t="n"/>
      <c r="D262" s="3" t="n"/>
      <c r="E262" s="3" t="n"/>
      <c r="F262" s="3">
        <f>IF(B262="common", 4, IF(B262="uncommon", 3, IF(B262="rare", 0.73878, 1)))</f>
        <v/>
      </c>
      <c r="I262" s="3" t="n"/>
      <c r="J262" s="3" t="n"/>
      <c r="K262" s="3" t="n"/>
      <c r="L262" s="3" t="n"/>
      <c r="M262" s="3" t="n"/>
      <c r="N262" s="3" t="n"/>
      <c r="AY262" s="3" t="n"/>
    </row>
    <row r="263">
      <c r="A263" s="3" t="n"/>
      <c r="B263" s="3" t="n"/>
      <c r="C263" s="3" t="n"/>
      <c r="D263" s="3" t="n"/>
      <c r="E263" s="3" t="n"/>
      <c r="F263" s="3">
        <f>IF(B263="common", 4, IF(B263="uncommon", 3, IF(B263="rare", 0.73878, 1)))</f>
        <v/>
      </c>
      <c r="I263" s="3" t="n"/>
      <c r="J263" s="3" t="n"/>
      <c r="K263" s="3" t="n"/>
      <c r="L263" s="3" t="n"/>
      <c r="M263" s="3" t="n"/>
      <c r="N263" s="3" t="n"/>
      <c r="AY263" s="3" t="n"/>
    </row>
    <row r="264">
      <c r="A264" s="3" t="n"/>
      <c r="B264" s="3" t="n"/>
      <c r="C264" s="3" t="n"/>
      <c r="D264" s="3" t="n"/>
      <c r="E264" s="3" t="n"/>
      <c r="F264" s="3">
        <f>IF(B264="common", 4, IF(B264="uncommon", 3, IF(B264="rare", 0.73878, 1)))</f>
        <v/>
      </c>
      <c r="I264" s="3" t="n"/>
      <c r="J264" s="3" t="n"/>
      <c r="K264" s="3" t="n"/>
      <c r="L264" s="3" t="n"/>
      <c r="M264" s="3" t="n"/>
      <c r="N264" s="3" t="n"/>
      <c r="AY264" s="3" t="n"/>
    </row>
    <row r="265">
      <c r="A265" s="3" t="n"/>
      <c r="B265" s="3" t="n"/>
      <c r="C265" s="3" t="n"/>
      <c r="D265" s="3" t="n"/>
      <c r="E265" s="3" t="n"/>
      <c r="F265" s="3">
        <f>IF(B265="common", 4, IF(B265="uncommon", 3, IF(B265="rare", 0.73878, 1)))</f>
        <v/>
      </c>
      <c r="I265" s="3" t="n"/>
      <c r="J265" s="3" t="n"/>
      <c r="K265" s="3" t="n"/>
      <c r="L265" s="3" t="n"/>
      <c r="M265" s="3" t="n"/>
      <c r="N265" s="3" t="n"/>
      <c r="AY265" s="3" t="n"/>
    </row>
    <row r="266">
      <c r="A266" s="3" t="n"/>
      <c r="B266" s="3" t="n"/>
      <c r="C266" s="3" t="n"/>
      <c r="D266" s="3" t="n"/>
      <c r="E266" s="3" t="n"/>
      <c r="F266" s="3">
        <f>IF(B266="common", 4, IF(B266="uncommon", 3, IF(B266="rare", 0.73878, 1)))</f>
        <v/>
      </c>
      <c r="I266" s="3" t="n"/>
      <c r="J266" s="3" t="n"/>
      <c r="K266" s="3" t="n"/>
      <c r="L266" s="3" t="n"/>
      <c r="M266" s="3" t="n"/>
      <c r="N266" s="3" t="n"/>
      <c r="AY266" s="3" t="n"/>
    </row>
    <row r="267">
      <c r="A267" s="3" t="n"/>
      <c r="B267" s="3" t="n"/>
      <c r="C267" s="3" t="n"/>
      <c r="D267" s="3" t="n"/>
      <c r="E267" s="3" t="n"/>
      <c r="F267" s="3">
        <f>IF(B267="common", 4, IF(B267="uncommon", 3, IF(B267="rare", 0.73878, 1)))</f>
        <v/>
      </c>
      <c r="I267" s="3" t="n"/>
      <c r="J267" s="3" t="n"/>
      <c r="K267" s="3" t="n"/>
      <c r="L267" s="3" t="n"/>
      <c r="M267" s="3" t="n"/>
      <c r="N267" s="3" t="n"/>
      <c r="AY267" s="3" t="n"/>
    </row>
    <row r="268">
      <c r="A268" s="3" t="n"/>
      <c r="B268" s="3" t="n"/>
      <c r="C268" s="3" t="n"/>
      <c r="D268" s="3" t="n"/>
      <c r="E268" s="3" t="n"/>
      <c r="F268" s="3">
        <f>IF(B268="common", 4, IF(B268="uncommon", 3, IF(B268="rare", 0.73878, 1)))</f>
        <v/>
      </c>
      <c r="I268" s="3" t="n"/>
      <c r="J268" s="3" t="n"/>
      <c r="K268" s="3" t="n"/>
      <c r="L268" s="3" t="n"/>
      <c r="M268" s="3" t="n"/>
      <c r="N268" s="3" t="n"/>
      <c r="AY268" s="3" t="n"/>
    </row>
    <row r="269">
      <c r="A269" s="3" t="n"/>
      <c r="B269" s="3" t="n"/>
      <c r="C269" s="3" t="n"/>
      <c r="D269" s="3" t="n"/>
      <c r="E269" s="3" t="n"/>
      <c r="F269" s="3">
        <f>IF(B269="common", 4, IF(B269="uncommon", 3, IF(B269="rare", 0.73878, 1)))</f>
        <v/>
      </c>
      <c r="I269" s="3" t="n"/>
      <c r="J269" s="3" t="n"/>
      <c r="K269" s="3" t="n"/>
      <c r="L269" s="3" t="n"/>
      <c r="M269" s="3" t="n"/>
      <c r="N269" s="3" t="n"/>
      <c r="AY269" s="3" t="n"/>
    </row>
    <row r="270">
      <c r="A270" s="3" t="n"/>
      <c r="B270" s="3" t="n"/>
      <c r="C270" s="3" t="n"/>
      <c r="D270" s="3" t="n"/>
      <c r="E270" s="3" t="n"/>
      <c r="F270" s="3">
        <f>IF(B270="common", 4, IF(B270="uncommon", 3, IF(B270="rare", 0.73878, 1)))</f>
        <v/>
      </c>
      <c r="I270" s="3" t="n"/>
      <c r="J270" s="3" t="n"/>
      <c r="K270" s="3" t="n"/>
      <c r="L270" s="3" t="n"/>
      <c r="M270" s="3" t="n"/>
      <c r="N270" s="3" t="n"/>
      <c r="AY270" s="3" t="n"/>
    </row>
    <row r="271">
      <c r="A271" s="3" t="n"/>
      <c r="B271" s="3" t="n"/>
      <c r="C271" s="3" t="n"/>
      <c r="D271" s="3" t="n"/>
      <c r="E271" s="3" t="n"/>
      <c r="F271" s="3">
        <f>IF(B271="common", 4, IF(B271="uncommon", 3, IF(B271="rare", 0.73878, 1)))</f>
        <v/>
      </c>
      <c r="I271" s="3" t="n"/>
      <c r="J271" s="3" t="n"/>
      <c r="K271" s="3" t="n"/>
      <c r="L271" s="3" t="n"/>
      <c r="M271" s="3" t="n"/>
      <c r="N271" s="3" t="n"/>
      <c r="AY271" s="3" t="n"/>
    </row>
    <row r="272">
      <c r="A272" s="3" t="n"/>
      <c r="B272" s="3" t="n"/>
      <c r="C272" s="3" t="n"/>
      <c r="D272" s="3" t="n"/>
      <c r="E272" s="3" t="n"/>
      <c r="F272" s="3">
        <f>IF(B272="common", 4, IF(B272="uncommon", 3, IF(B272="rare", 0.73878, 1)))</f>
        <v/>
      </c>
      <c r="I272" s="3" t="n"/>
      <c r="J272" s="3" t="n"/>
      <c r="K272" s="3" t="n"/>
      <c r="L272" s="3" t="n"/>
      <c r="M272" s="3" t="n"/>
      <c r="N272" s="3" t="n"/>
      <c r="AY272" s="3" t="n"/>
    </row>
    <row r="273">
      <c r="A273" s="3" t="n"/>
      <c r="B273" s="3" t="n"/>
      <c r="C273" s="3" t="n"/>
      <c r="D273" s="3" t="n"/>
      <c r="E273" s="3" t="n"/>
      <c r="F273" s="3">
        <f>IF(B273="common", 4, IF(B273="uncommon", 3, IF(B273="rare", 0.73878, 1)))</f>
        <v/>
      </c>
      <c r="I273" s="3" t="n"/>
      <c r="J273" s="3" t="n"/>
      <c r="K273" s="3" t="n"/>
      <c r="L273" s="3" t="n"/>
      <c r="M273" s="3" t="n"/>
      <c r="N273" s="3" t="n"/>
      <c r="AY273" s="3" t="n"/>
    </row>
    <row r="274">
      <c r="A274" s="3" t="n"/>
      <c r="B274" s="3" t="n"/>
      <c r="C274" s="3" t="n"/>
      <c r="D274" s="3" t="n"/>
      <c r="E274" s="3" t="n"/>
      <c r="F274" s="3">
        <f>IF(B274="common", 4, IF(B274="uncommon", 3, IF(B274="rare", 0.73878, 1)))</f>
        <v/>
      </c>
      <c r="I274" s="3" t="n"/>
      <c r="J274" s="3" t="n"/>
      <c r="K274" s="3" t="n"/>
      <c r="L274" s="3" t="n"/>
      <c r="M274" s="3" t="n"/>
      <c r="N274" s="3" t="n"/>
      <c r="AY274" s="3" t="n"/>
    </row>
    <row r="275">
      <c r="A275" s="3" t="n"/>
      <c r="B275" s="3" t="n"/>
      <c r="C275" s="3" t="n"/>
      <c r="D275" s="3" t="n"/>
      <c r="E275" s="3" t="n"/>
      <c r="F275" s="3">
        <f>IF(B275="common", 4, IF(B275="uncommon", 3, IF(B275="rare", 0.73878, 1)))</f>
        <v/>
      </c>
      <c r="I275" s="3" t="n"/>
      <c r="J275" s="3" t="n"/>
      <c r="K275" s="3" t="n"/>
      <c r="L275" s="3" t="n"/>
      <c r="M275" s="3" t="n"/>
      <c r="N275" s="3" t="n"/>
      <c r="AY275" s="3" t="n"/>
    </row>
    <row r="276">
      <c r="A276" s="3" t="n"/>
      <c r="B276" s="3" t="n"/>
      <c r="C276" s="3" t="n"/>
      <c r="D276" s="3" t="n"/>
      <c r="E276" s="3" t="n"/>
      <c r="F276" s="3">
        <f>IF(B276="common", 4, IF(B276="uncommon", 3, IF(B276="rare", 0.73878, 1)))</f>
        <v/>
      </c>
      <c r="I276" s="3" t="n"/>
      <c r="J276" s="3" t="n"/>
      <c r="K276" s="3" t="n"/>
      <c r="L276" s="3" t="n"/>
      <c r="M276" s="3" t="n"/>
      <c r="N276" s="3" t="n"/>
      <c r="AY276" s="3" t="n"/>
    </row>
    <row r="277">
      <c r="A277" s="3" t="n"/>
      <c r="B277" s="3" t="n"/>
      <c r="C277" s="3" t="n"/>
      <c r="D277" s="3" t="n"/>
      <c r="E277" s="3" t="n"/>
      <c r="F277" s="3">
        <f>IF(B277="common", 4, IF(B277="uncommon", 3, IF(B277="rare", 0.73878, 1)))</f>
        <v/>
      </c>
      <c r="I277" s="3" t="n"/>
      <c r="J277" s="3" t="n"/>
      <c r="K277" s="3" t="n"/>
      <c r="L277" s="3" t="n"/>
      <c r="M277" s="3" t="n"/>
      <c r="N277" s="3" t="n"/>
      <c r="AY277" s="3" t="n"/>
    </row>
    <row r="278">
      <c r="A278" s="3" t="n"/>
      <c r="B278" s="3" t="n"/>
      <c r="C278" s="3" t="n"/>
      <c r="D278" s="3" t="n"/>
      <c r="E278" s="3" t="n"/>
      <c r="F278" s="3">
        <f>IF(B278="common", 4, IF(B278="uncommon", 3, IF(B278="rare", 0.73878, 1)))</f>
        <v/>
      </c>
      <c r="I278" s="3" t="n"/>
      <c r="J278" s="3" t="n"/>
      <c r="K278" s="3" t="n"/>
      <c r="L278" s="3" t="n"/>
      <c r="M278" s="3" t="n"/>
      <c r="N278" s="3" t="n"/>
      <c r="AY278" s="3" t="n"/>
    </row>
    <row r="279">
      <c r="A279" s="3" t="n"/>
      <c r="B279" s="3" t="n"/>
      <c r="C279" s="3" t="n"/>
      <c r="D279" s="3" t="n"/>
      <c r="E279" s="3" t="n"/>
      <c r="F279" s="3">
        <f>IF(B279="common", 4, IF(B279="uncommon", 3, IF(B279="rare", 0.73878, 1)))</f>
        <v/>
      </c>
      <c r="I279" s="3" t="n"/>
      <c r="J279" s="3" t="n"/>
      <c r="K279" s="3" t="n"/>
      <c r="L279" s="3" t="n"/>
      <c r="M279" s="3" t="n"/>
      <c r="N279" s="3" t="n"/>
      <c r="AY279" s="3" t="n"/>
    </row>
    <row r="280">
      <c r="A280" s="3" t="n"/>
      <c r="B280" s="3" t="n"/>
      <c r="C280" s="3" t="n"/>
      <c r="D280" s="3" t="n"/>
      <c r="E280" s="3" t="n"/>
      <c r="F280" s="3">
        <f>IF(B280="common", 4, IF(B280="uncommon", 3, IF(B280="rare", 0.73878, 1)))</f>
        <v/>
      </c>
      <c r="I280" s="3" t="n"/>
      <c r="J280" s="3" t="n"/>
      <c r="K280" s="3" t="n"/>
      <c r="L280" s="3" t="n"/>
      <c r="M280" s="3" t="n"/>
      <c r="N280" s="3" t="n"/>
      <c r="AY280" s="3" t="n"/>
    </row>
    <row r="281">
      <c r="A281" s="3" t="n"/>
      <c r="B281" s="3" t="n"/>
      <c r="C281" s="3" t="n"/>
      <c r="D281" s="3" t="n"/>
      <c r="E281" s="3" t="n"/>
      <c r="F281" s="3">
        <f>IF(B281="common", 4, IF(B281="uncommon", 3, IF(B281="rare", 0.73878, 1)))</f>
        <v/>
      </c>
      <c r="I281" s="3" t="n"/>
      <c r="J281" s="3" t="n"/>
      <c r="K281" s="3" t="n"/>
      <c r="L281" s="3" t="n"/>
      <c r="M281" s="3" t="n"/>
      <c r="N281" s="3" t="n"/>
      <c r="AY281" s="3" t="n"/>
    </row>
    <row r="282">
      <c r="A282" s="3" t="n"/>
      <c r="B282" s="3" t="n"/>
      <c r="C282" s="3" t="n"/>
      <c r="D282" s="3" t="n"/>
      <c r="E282" s="3" t="n"/>
      <c r="F282" s="3">
        <f>IF(B282="common", 4, IF(B282="uncommon", 3, IF(B282="rare", 0.73878, 1)))</f>
        <v/>
      </c>
      <c r="I282" s="3" t="n"/>
      <c r="J282" s="3" t="n"/>
      <c r="K282" s="3" t="n"/>
      <c r="L282" s="3" t="n"/>
      <c r="M282" s="3" t="n"/>
      <c r="N282" s="3" t="n"/>
      <c r="AY282" s="3" t="n"/>
    </row>
    <row r="283">
      <c r="A283" s="3" t="n"/>
      <c r="B283" s="3" t="n"/>
      <c r="C283" s="3" t="n"/>
      <c r="D283" s="3" t="n"/>
      <c r="E283" s="3" t="n"/>
      <c r="F283" s="3">
        <f>IF(B283="common", 4, IF(B283="uncommon", 3, IF(B283="rare", 0.73878, 1)))</f>
        <v/>
      </c>
      <c r="I283" s="3" t="n"/>
      <c r="J283" s="3" t="n"/>
      <c r="K283" s="3" t="n"/>
      <c r="L283" s="3" t="n"/>
      <c r="M283" s="3" t="n"/>
      <c r="N283" s="3" t="n"/>
      <c r="AY283" s="3" t="n"/>
    </row>
    <row r="284">
      <c r="A284" s="3" t="n"/>
      <c r="B284" s="3" t="n"/>
      <c r="C284" s="3" t="n"/>
      <c r="D284" s="3" t="n"/>
      <c r="E284" s="3" t="n"/>
      <c r="F284" s="3">
        <f>IF(B284="common", 4, IF(B284="uncommon", 3, IF(B284="rare", 0.73878, 1)))</f>
        <v/>
      </c>
      <c r="I284" s="3" t="n"/>
      <c r="J284" s="3" t="n"/>
      <c r="K284" s="3" t="n"/>
      <c r="L284" s="3" t="n"/>
      <c r="M284" s="3" t="n"/>
      <c r="N284" s="3" t="n"/>
      <c r="AY284" s="3" t="n"/>
    </row>
    <row r="285">
      <c r="A285" s="3" t="n"/>
      <c r="B285" s="3" t="n"/>
      <c r="C285" s="3" t="n"/>
      <c r="D285" s="3" t="n"/>
      <c r="E285" s="3" t="n"/>
      <c r="F285" s="3">
        <f>IF(B285="common", 4, IF(B285="uncommon", 3, IF(B285="rare", 0.73878, 1)))</f>
        <v/>
      </c>
      <c r="I285" s="3" t="n"/>
      <c r="J285" s="3" t="n"/>
      <c r="K285" s="3" t="n"/>
      <c r="L285" s="3" t="n"/>
      <c r="M285" s="3" t="n"/>
      <c r="N285" s="3" t="n"/>
      <c r="AY285" s="3" t="n"/>
    </row>
    <row r="286">
      <c r="A286" s="3" t="n"/>
      <c r="B286" s="3" t="n"/>
      <c r="C286" s="3" t="n"/>
      <c r="D286" s="3" t="n"/>
      <c r="E286" s="3" t="n"/>
      <c r="F286" s="3">
        <f>IF(B286="common", 4, IF(B286="uncommon", 3, IF(B286="rare", 0.73878, 1)))</f>
        <v/>
      </c>
      <c r="I286" s="3" t="n"/>
      <c r="J286" s="3" t="n"/>
      <c r="K286" s="3" t="n"/>
      <c r="L286" s="3" t="n"/>
      <c r="M286" s="3" t="n"/>
      <c r="N286" s="3" t="n"/>
      <c r="AY286" s="3" t="n"/>
    </row>
    <row r="287">
      <c r="A287" s="3" t="n"/>
      <c r="B287" s="3" t="n"/>
      <c r="C287" s="3" t="n"/>
      <c r="D287" s="3" t="n"/>
      <c r="E287" s="3" t="n"/>
      <c r="F287" s="3">
        <f>IF(B287="common", 4, IF(B287="uncommon", 3, IF(B287="rare", 0.73878, 1)))</f>
        <v/>
      </c>
      <c r="I287" s="3" t="n"/>
      <c r="J287" s="3" t="n"/>
      <c r="K287" s="3" t="n"/>
      <c r="L287" s="3" t="n"/>
      <c r="M287" s="3" t="n"/>
      <c r="N287" s="3" t="n"/>
      <c r="AY287" s="3" t="n"/>
    </row>
    <row r="288">
      <c r="A288" s="3" t="n"/>
      <c r="B288" s="3" t="n"/>
      <c r="C288" s="3" t="n"/>
      <c r="D288" s="3" t="n"/>
      <c r="E288" s="3" t="n"/>
      <c r="F288" s="3">
        <f>IF(B288="common", 4, IF(B288="uncommon", 3, IF(B288="rare", 0.73878, 1)))</f>
        <v/>
      </c>
      <c r="I288" s="3" t="n"/>
      <c r="J288" s="3" t="n"/>
      <c r="K288" s="3" t="n"/>
      <c r="L288" s="3" t="n"/>
      <c r="M288" s="3" t="n"/>
      <c r="N288" s="3" t="n"/>
      <c r="AY288" s="3" t="n"/>
    </row>
    <row r="289">
      <c r="A289" s="3" t="n"/>
      <c r="B289" s="3" t="n"/>
      <c r="C289" s="3" t="n"/>
      <c r="D289" s="3" t="n"/>
      <c r="E289" s="3" t="n"/>
      <c r="F289" s="3">
        <f>IF(B289="common", 4, IF(B289="uncommon", 3, IF(B289="rare", 0.73878, 1)))</f>
        <v/>
      </c>
      <c r="I289" s="3" t="n"/>
      <c r="J289" s="3" t="n"/>
      <c r="K289" s="3" t="n"/>
      <c r="L289" s="3" t="n"/>
      <c r="M289" s="3" t="n"/>
      <c r="N289" s="3" t="n"/>
      <c r="AY289" s="3" t="n"/>
    </row>
    <row r="290">
      <c r="A290" s="3" t="n"/>
      <c r="B290" s="3" t="n"/>
      <c r="C290" s="3" t="n"/>
      <c r="D290" s="3" t="n"/>
      <c r="E290" s="3" t="n"/>
      <c r="F290" s="3">
        <f>IF(B290="common", 4, IF(B290="uncommon", 3, IF(B290="rare", 0.73878, 1)))</f>
        <v/>
      </c>
      <c r="I290" s="3" t="n"/>
      <c r="J290" s="3" t="n"/>
      <c r="K290" s="3" t="n"/>
      <c r="L290" s="3" t="n"/>
      <c r="M290" s="3" t="n"/>
      <c r="N290" s="3" t="n"/>
      <c r="AY290" s="3" t="n"/>
    </row>
    <row r="291">
      <c r="A291" s="3" t="n"/>
      <c r="B291" s="3" t="n"/>
      <c r="C291" s="3" t="n"/>
      <c r="D291" s="3" t="n"/>
      <c r="E291" s="3" t="n"/>
      <c r="F291" s="3">
        <f>IF(B291="common", 4, IF(B291="uncommon", 3, IF(B291="rare", 0.73878, 1)))</f>
        <v/>
      </c>
      <c r="I291" s="3" t="n"/>
      <c r="J291" s="3" t="n"/>
      <c r="K291" s="3" t="n"/>
      <c r="L291" s="3" t="n"/>
      <c r="M291" s="3" t="n"/>
      <c r="N291" s="3" t="n"/>
      <c r="AY291" s="3" t="n"/>
    </row>
    <row r="292">
      <c r="A292" s="3" t="n"/>
      <c r="B292" s="3" t="n"/>
      <c r="C292" s="3" t="n"/>
      <c r="D292" s="3" t="n"/>
      <c r="E292" s="3" t="n"/>
      <c r="F292" s="3">
        <f>IF(B292="common", 4, IF(B292="uncommon", 3, IF(B292="rare", 0.73878, 1)))</f>
        <v/>
      </c>
      <c r="I292" s="3" t="n"/>
      <c r="J292" s="3" t="n"/>
      <c r="K292" s="3" t="n"/>
      <c r="L292" s="3" t="n"/>
      <c r="M292" s="3" t="n"/>
      <c r="N292" s="3" t="n"/>
      <c r="AY292" s="3" t="n"/>
    </row>
    <row r="293">
      <c r="A293" s="3" t="n"/>
      <c r="B293" s="3" t="n"/>
      <c r="C293" s="3" t="n"/>
      <c r="D293" s="3" t="n"/>
      <c r="E293" s="3" t="n"/>
      <c r="F293" s="3">
        <f>IF(B293="common", 4, IF(B293="uncommon", 3, IF(B293="rare", 0.73878, 1)))</f>
        <v/>
      </c>
      <c r="I293" s="3" t="n"/>
      <c r="J293" s="3" t="n"/>
      <c r="K293" s="3" t="n"/>
      <c r="L293" s="3" t="n"/>
      <c r="M293" s="3" t="n"/>
      <c r="N293" s="3" t="n"/>
      <c r="AY293" s="3" t="n"/>
    </row>
    <row r="294">
      <c r="A294" s="3" t="n"/>
      <c r="B294" s="3" t="n"/>
      <c r="C294" s="3" t="n"/>
      <c r="D294" s="3" t="n"/>
      <c r="E294" s="3" t="n"/>
      <c r="F294" s="3">
        <f>IF(B294="common", 4, IF(B294="uncommon", 3, IF(B294="rare", 0.73878, 1)))</f>
        <v/>
      </c>
      <c r="I294" s="3" t="n"/>
      <c r="J294" s="3" t="n"/>
      <c r="K294" s="3" t="n"/>
      <c r="L294" s="3" t="n"/>
      <c r="M294" s="3" t="n"/>
      <c r="N294" s="3" t="n"/>
      <c r="AY294" s="3" t="n"/>
    </row>
    <row r="295">
      <c r="A295" s="3" t="n"/>
      <c r="B295" s="3" t="n"/>
      <c r="C295" s="3" t="n"/>
      <c r="D295" s="3" t="n"/>
      <c r="E295" s="3" t="n"/>
      <c r="F295" s="3">
        <f>IF(B295="common", 4, IF(B295="uncommon", 3, IF(B295="rare", 0.73878, 1)))</f>
        <v/>
      </c>
      <c r="I295" s="3" t="n"/>
      <c r="J295" s="3" t="n"/>
      <c r="K295" s="3" t="n"/>
      <c r="L295" s="3" t="n"/>
      <c r="M295" s="3" t="n"/>
      <c r="N295" s="3" t="n"/>
      <c r="AY295" s="3" t="n"/>
    </row>
    <row r="296">
      <c r="A296" s="3" t="n"/>
      <c r="B296" s="3" t="n"/>
      <c r="C296" s="3" t="n"/>
      <c r="D296" s="3" t="n"/>
      <c r="E296" s="3" t="n"/>
      <c r="F296" s="3">
        <f>IF(B296="common", 4, IF(B296="uncommon", 3, IF(B296="rare", 0.73878, 1)))</f>
        <v/>
      </c>
      <c r="I296" s="3" t="n"/>
      <c r="J296" s="3" t="n"/>
      <c r="K296" s="3" t="n"/>
      <c r="L296" s="3" t="n"/>
      <c r="M296" s="3" t="n"/>
      <c r="N296" s="3" t="n"/>
      <c r="AY296" s="3" t="n"/>
    </row>
    <row r="297">
      <c r="A297" s="3" t="n"/>
      <c r="B297" s="3" t="n"/>
      <c r="C297" s="3" t="n"/>
      <c r="D297" s="3" t="n"/>
      <c r="E297" s="3" t="n"/>
      <c r="F297" s="3">
        <f>IF(B297="common", 4, IF(B297="uncommon", 3, IF(B297="rare", 0.73878, 1)))</f>
        <v/>
      </c>
      <c r="I297" s="3" t="n"/>
      <c r="J297" s="3" t="n"/>
      <c r="K297" s="3" t="n"/>
      <c r="L297" s="3" t="n"/>
      <c r="M297" s="3" t="n"/>
      <c r="N297" s="3" t="n"/>
      <c r="AY297" s="3" t="n"/>
    </row>
    <row r="298">
      <c r="A298" s="3" t="n"/>
      <c r="B298" s="3" t="n"/>
      <c r="C298" s="3" t="n"/>
      <c r="D298" s="3" t="n"/>
      <c r="E298" s="3" t="n"/>
      <c r="F298" s="3">
        <f>IF(B298="common", 4, IF(B298="uncommon", 3, IF(B298="rare", 0.73878, 1)))</f>
        <v/>
      </c>
      <c r="I298" s="3" t="n"/>
      <c r="J298" s="3" t="n"/>
      <c r="K298" s="3" t="n"/>
      <c r="L298" s="3" t="n"/>
      <c r="M298" s="3" t="n"/>
      <c r="N298" s="3" t="n"/>
      <c r="AY298" s="3" t="n"/>
    </row>
    <row r="299">
      <c r="A299" s="3" t="n"/>
      <c r="B299" s="3" t="n"/>
      <c r="C299" s="3" t="n"/>
      <c r="D299" s="3" t="n"/>
      <c r="E299" s="3" t="n"/>
      <c r="F299" s="3">
        <f>IF(B299="common", 4, IF(B299="uncommon", 3, IF(B299="rare", 0.73878, 1)))</f>
        <v/>
      </c>
      <c r="I299" s="3" t="n"/>
      <c r="J299" s="3" t="n"/>
      <c r="K299" s="3" t="n"/>
      <c r="L299" s="3" t="n"/>
      <c r="M299" s="3" t="n"/>
      <c r="N299" s="3" t="n"/>
      <c r="AY299" s="3" t="n"/>
    </row>
    <row r="300">
      <c r="A300" s="3" t="n"/>
      <c r="B300" s="3" t="n"/>
      <c r="C300" s="3" t="n"/>
      <c r="D300" s="3" t="n"/>
      <c r="E300" s="3" t="n"/>
      <c r="F300" s="3">
        <f>IF(B300="common", 4, IF(B300="uncommon", 3, IF(B300="rare", 0.73878, 1)))</f>
        <v/>
      </c>
      <c r="I300" s="3" t="n"/>
      <c r="J300" s="3" t="n"/>
      <c r="K300" s="3" t="n"/>
      <c r="L300" s="3" t="n"/>
      <c r="M300" s="3" t="n"/>
      <c r="N300" s="3" t="n"/>
      <c r="AY300" s="3" t="n"/>
    </row>
    <row r="301">
      <c r="A301" s="3" t="n"/>
      <c r="B301" s="3" t="n"/>
      <c r="C301" s="3" t="n"/>
      <c r="D301" s="3" t="n"/>
      <c r="E301" s="3" t="n"/>
      <c r="F301" s="3">
        <f>IF(B301="common", 4, IF(B301="uncommon", 3, IF(B301="rare", 0.73878, 1)))</f>
        <v/>
      </c>
      <c r="I301" s="3" t="n"/>
      <c r="J301" s="3" t="n"/>
      <c r="K301" s="3" t="n"/>
      <c r="L301" s="3" t="n"/>
      <c r="M301" s="3" t="n"/>
      <c r="N301" s="3" t="n"/>
      <c r="AY301" s="3" t="n"/>
    </row>
    <row r="302">
      <c r="A302" s="3" t="n"/>
      <c r="B302" s="3" t="n"/>
      <c r="C302" s="3" t="n"/>
      <c r="D302" s="3" t="n"/>
      <c r="E302" s="3" t="n"/>
      <c r="F302" s="3">
        <f>IF(B302="common", 4, IF(B302="uncommon", 3, IF(B302="rare", 0.73878, 1)))</f>
        <v/>
      </c>
      <c r="I302" s="3" t="n"/>
      <c r="J302" s="3" t="n"/>
      <c r="K302" s="3" t="n"/>
      <c r="L302" s="3" t="n"/>
      <c r="M302" s="3" t="n"/>
      <c r="N302" s="3" t="n"/>
      <c r="AY302" s="3" t="n"/>
    </row>
    <row r="303">
      <c r="A303" s="3" t="n"/>
      <c r="B303" s="3" t="n"/>
      <c r="C303" s="3" t="n"/>
      <c r="D303" s="3" t="n"/>
      <c r="E303" s="3" t="n"/>
      <c r="F303" s="3">
        <f>IF(B303="common", 4, IF(B303="uncommon", 3, IF(B303="rare", 0.73878, 1)))</f>
        <v/>
      </c>
      <c r="I303" s="3" t="n"/>
      <c r="J303" s="3" t="n"/>
      <c r="K303" s="3" t="n"/>
      <c r="L303" s="3" t="n"/>
      <c r="M303" s="3" t="n"/>
      <c r="N303" s="3" t="n"/>
      <c r="AY303" s="3" t="n"/>
    </row>
    <row r="304">
      <c r="A304" s="3" t="n"/>
      <c r="B304" s="3" t="n"/>
      <c r="C304" s="3" t="n"/>
      <c r="D304" s="3" t="n"/>
      <c r="E304" s="3" t="n"/>
      <c r="F304" s="3">
        <f>IF(B304="common", 4, IF(B304="uncommon", 3, IF(B304="rare", 0.73878, 1)))</f>
        <v/>
      </c>
      <c r="I304" s="3" t="n"/>
      <c r="J304" s="3" t="n"/>
      <c r="K304" s="3" t="n"/>
      <c r="L304" s="3" t="n"/>
      <c r="M304" s="3" t="n"/>
      <c r="N304" s="3" t="n"/>
      <c r="AY304" s="3" t="n"/>
    </row>
    <row r="305">
      <c r="A305" s="3" t="n"/>
      <c r="B305" s="3" t="n"/>
      <c r="C305" s="3" t="n"/>
      <c r="D305" s="3" t="n"/>
      <c r="E305" s="3" t="n"/>
      <c r="F305" s="3">
        <f>IF(B305="common", 4, IF(B305="uncommon", 3, IF(B305="rare", 0.73878, 1)))</f>
        <v/>
      </c>
      <c r="I305" s="3" t="n"/>
      <c r="J305" s="3" t="n"/>
      <c r="K305" s="3" t="n"/>
      <c r="L305" s="3" t="n"/>
      <c r="M305" s="3" t="n"/>
      <c r="N305" s="3" t="n"/>
      <c r="AY305" s="3" t="n"/>
    </row>
    <row r="306">
      <c r="A306" s="3" t="n"/>
      <c r="B306" s="3" t="n"/>
      <c r="C306" s="3" t="n"/>
      <c r="D306" s="3" t="n"/>
      <c r="E306" s="3" t="n"/>
      <c r="F306" s="3">
        <f>IF(B306="common", 4, IF(B306="uncommon", 3, IF(B306="rare", 0.73878, 1)))</f>
        <v/>
      </c>
      <c r="I306" s="3" t="n"/>
      <c r="J306" s="3" t="n"/>
      <c r="K306" s="3" t="n"/>
      <c r="L306" s="3" t="n"/>
      <c r="M306" s="3" t="n"/>
      <c r="N306" s="3" t="n"/>
      <c r="AY306" s="3" t="n"/>
    </row>
    <row r="307">
      <c r="A307" s="3" t="n"/>
      <c r="B307" s="3" t="n"/>
      <c r="C307" s="3" t="n"/>
      <c r="D307" s="3" t="n"/>
      <c r="E307" s="3" t="n"/>
      <c r="F307" s="3">
        <f>IF(B307="common", 4, IF(B307="uncommon", 3, IF(B307="rare", 0.73878, 1)))</f>
        <v/>
      </c>
      <c r="I307" s="3" t="n"/>
      <c r="J307" s="3" t="n"/>
      <c r="K307" s="3" t="n"/>
      <c r="L307" s="3" t="n"/>
      <c r="M307" s="3" t="n"/>
      <c r="N307" s="3" t="n"/>
      <c r="AY307" s="3" t="n"/>
    </row>
    <row r="308">
      <c r="A308" s="3" t="n"/>
      <c r="B308" s="3" t="n"/>
      <c r="C308" s="3" t="n"/>
      <c r="D308" s="3" t="n"/>
      <c r="E308" s="3" t="n"/>
      <c r="F308" s="3">
        <f>IF(B308="common", 4, IF(B308="uncommon", 3, IF(B308="rare", 0.73878, 1)))</f>
        <v/>
      </c>
      <c r="I308" s="3" t="n"/>
      <c r="J308" s="3" t="n"/>
      <c r="K308" s="3" t="n"/>
      <c r="L308" s="3" t="n"/>
      <c r="M308" s="3" t="n"/>
      <c r="N308" s="3" t="n"/>
      <c r="AY308" s="3" t="n"/>
    </row>
    <row r="309">
      <c r="A309" s="3" t="n"/>
      <c r="B309" s="3" t="n"/>
      <c r="C309" s="3" t="n"/>
      <c r="D309" s="3" t="n"/>
      <c r="E309" s="3" t="n"/>
      <c r="F309" s="3">
        <f>IF(B309="common", 4, IF(B309="uncommon", 3, IF(B309="rare", 0.73878, 1)))</f>
        <v/>
      </c>
      <c r="I309" s="3" t="n"/>
      <c r="J309" s="3" t="n"/>
      <c r="K309" s="3" t="n"/>
      <c r="L309" s="3" t="n"/>
      <c r="M309" s="3" t="n"/>
      <c r="N309" s="3" t="n"/>
      <c r="AY309" s="3" t="n"/>
    </row>
    <row r="310">
      <c r="A310" s="3" t="n"/>
      <c r="B310" s="3" t="n"/>
      <c r="C310" s="3" t="n"/>
      <c r="D310" s="3" t="n"/>
      <c r="E310" s="3" t="n"/>
      <c r="F310" s="3">
        <f>IF(B310="common", 4, IF(B310="uncommon", 3, IF(B310="rare", 0.73878, 1)))</f>
        <v/>
      </c>
      <c r="I310" s="3" t="n"/>
      <c r="J310" s="3" t="n"/>
      <c r="K310" s="3" t="n"/>
      <c r="L310" s="3" t="n"/>
      <c r="M310" s="3" t="n"/>
      <c r="N310" s="3" t="n"/>
      <c r="AY310" s="3" t="n"/>
    </row>
    <row r="311">
      <c r="A311" s="3" t="n"/>
      <c r="B311" s="3" t="n"/>
      <c r="C311" s="3" t="n"/>
      <c r="D311" s="3" t="n"/>
      <c r="E311" s="3" t="n"/>
      <c r="F311" s="3">
        <f>IF(B311="common", 4, IF(B311="uncommon", 3, IF(B311="rare", 0.73878, 1)))</f>
        <v/>
      </c>
      <c r="I311" s="3" t="n"/>
      <c r="J311" s="3" t="n"/>
      <c r="K311" s="3" t="n"/>
      <c r="L311" s="3" t="n"/>
      <c r="M311" s="3" t="n"/>
      <c r="N311" s="3" t="n"/>
      <c r="AY311" s="3" t="n"/>
    </row>
    <row r="312">
      <c r="A312" s="3" t="n"/>
      <c r="B312" s="3" t="n"/>
      <c r="C312" s="3" t="n"/>
      <c r="D312" s="3" t="n"/>
      <c r="E312" s="3" t="n"/>
      <c r="F312" s="3">
        <f>IF(B312="common", 4, IF(B312="uncommon", 3, IF(B312="rare", 0.73878, 1)))</f>
        <v/>
      </c>
      <c r="I312" s="3" t="n"/>
      <c r="J312" s="3" t="n"/>
      <c r="K312" s="3" t="n"/>
      <c r="L312" s="3" t="n"/>
      <c r="M312" s="3" t="n"/>
      <c r="N312" s="3" t="n"/>
      <c r="AY312" s="3" t="n"/>
    </row>
    <row r="313">
      <c r="A313" s="3" t="n"/>
      <c r="B313" s="3" t="n"/>
      <c r="C313" s="3" t="n"/>
      <c r="D313" s="3" t="n"/>
      <c r="E313" s="3" t="n"/>
      <c r="F313" s="3">
        <f>IF(B313="common", 4, IF(B313="uncommon", 3, IF(B313="rare", 0.73878, 1)))</f>
        <v/>
      </c>
      <c r="I313" s="3" t="n"/>
      <c r="J313" s="3" t="n"/>
      <c r="K313" s="3" t="n"/>
      <c r="L313" s="3" t="n"/>
      <c r="M313" s="3" t="n"/>
      <c r="N313" s="3" t="n"/>
      <c r="AY313" s="3" t="n"/>
    </row>
    <row r="314">
      <c r="A314" s="3" t="n"/>
      <c r="B314" s="3" t="n"/>
      <c r="C314" s="3" t="n"/>
      <c r="D314" s="3" t="n"/>
      <c r="E314" s="3" t="n"/>
      <c r="F314" s="3">
        <f>IF(B314="common", 4, IF(B314="uncommon", 3, IF(B314="rare", 0.73878, 1)))</f>
        <v/>
      </c>
      <c r="I314" s="3" t="n"/>
      <c r="J314" s="3" t="n"/>
      <c r="K314" s="3" t="n"/>
      <c r="L314" s="3" t="n"/>
      <c r="M314" s="3" t="n"/>
      <c r="N314" s="3" t="n"/>
      <c r="AY314" s="3" t="n"/>
    </row>
    <row r="315">
      <c r="A315" s="3" t="n"/>
      <c r="B315" s="3" t="n"/>
      <c r="C315" s="3" t="n"/>
      <c r="D315" s="3" t="n"/>
      <c r="E315" s="3" t="n"/>
      <c r="F315" s="3">
        <f>IF(B315="common", 4, IF(B315="uncommon", 3, IF(B315="rare", 0.73878, 1)))</f>
        <v/>
      </c>
      <c r="I315" s="3" t="n"/>
      <c r="J315" s="3" t="n"/>
      <c r="K315" s="3" t="n"/>
      <c r="L315" s="3" t="n"/>
      <c r="M315" s="3" t="n"/>
      <c r="N315" s="3" t="n"/>
      <c r="AY315" s="3" t="n"/>
    </row>
    <row r="316">
      <c r="A316" s="3" t="n"/>
      <c r="B316" s="3" t="n"/>
      <c r="C316" s="3" t="n"/>
      <c r="D316" s="3" t="n"/>
      <c r="E316" s="3" t="n"/>
      <c r="F316" s="3">
        <f>IF(B316="common", 4, IF(B316="uncommon", 3, IF(B316="rare", 0.73878, 1)))</f>
        <v/>
      </c>
      <c r="I316" s="3" t="n"/>
      <c r="J316" s="3" t="n"/>
      <c r="K316" s="3" t="n"/>
      <c r="L316" s="3" t="n"/>
      <c r="M316" s="3" t="n"/>
      <c r="N316" s="3" t="n"/>
      <c r="AY316" s="3" t="n"/>
    </row>
    <row r="317">
      <c r="A317" s="3" t="n"/>
      <c r="B317" s="3" t="n"/>
      <c r="C317" s="3" t="n"/>
      <c r="D317" s="3" t="n"/>
      <c r="E317" s="3" t="n"/>
      <c r="F317" s="3">
        <f>IF(B317="common", 4, IF(B317="uncommon", 3, IF(B317="rare", 0.73878, 1)))</f>
        <v/>
      </c>
      <c r="I317" s="3" t="n"/>
      <c r="J317" s="3" t="n"/>
      <c r="K317" s="3" t="n"/>
      <c r="L317" s="3" t="n"/>
      <c r="M317" s="3" t="n"/>
      <c r="N317" s="3" t="n"/>
      <c r="AY317" s="3" t="n"/>
    </row>
    <row r="318">
      <c r="A318" s="3" t="n"/>
      <c r="B318" s="3" t="n"/>
      <c r="C318" s="3" t="n"/>
      <c r="D318" s="3" t="n"/>
      <c r="E318" s="3" t="n"/>
      <c r="F318" s="3">
        <f>IF(B318="common", 4, IF(B318="uncommon", 3, IF(B318="rare", 0.73878, 1)))</f>
        <v/>
      </c>
      <c r="I318" s="3" t="n"/>
      <c r="J318" s="3" t="n"/>
      <c r="K318" s="3" t="n"/>
      <c r="L318" s="3" t="n"/>
      <c r="M318" s="3" t="n"/>
      <c r="N318" s="3" t="n"/>
      <c r="AY318" s="3" t="n"/>
    </row>
    <row r="319">
      <c r="A319" s="3" t="n"/>
      <c r="B319" s="3" t="n"/>
      <c r="C319" s="3" t="n"/>
      <c r="D319" s="3" t="n"/>
      <c r="E319" s="3" t="n"/>
      <c r="F319" s="3">
        <f>IF(B319="common", 4, IF(B319="uncommon", 3, IF(B319="rare", 0.73878, 1)))</f>
        <v/>
      </c>
      <c r="I319" s="3" t="n"/>
      <c r="J319" s="3" t="n"/>
      <c r="K319" s="3" t="n"/>
      <c r="L319" s="3" t="n"/>
      <c r="M319" s="3" t="n"/>
      <c r="N319" s="3" t="n"/>
      <c r="AY319" s="3" t="n"/>
    </row>
    <row r="320">
      <c r="A320" s="3" t="n"/>
      <c r="B320" s="3" t="n"/>
      <c r="C320" s="3" t="n"/>
      <c r="D320" s="3" t="n"/>
      <c r="E320" s="3" t="n"/>
      <c r="F320" s="3">
        <f>IF(B320="common", 4, IF(B320="uncommon", 3, IF(B320="rare", 0.73878, 1)))</f>
        <v/>
      </c>
      <c r="I320" s="3" t="n"/>
      <c r="J320" s="3" t="n"/>
      <c r="K320" s="3" t="n"/>
      <c r="L320" s="3" t="n"/>
      <c r="M320" s="3" t="n"/>
      <c r="N320" s="3" t="n"/>
      <c r="AY320" s="3" t="n"/>
    </row>
    <row r="321">
      <c r="A321" s="3" t="n"/>
      <c r="B321" s="3" t="n"/>
      <c r="C321" s="3" t="n"/>
      <c r="D321" s="3" t="n"/>
      <c r="E321" s="3" t="n"/>
      <c r="F321" s="3">
        <f>IF(B321="common", 4, IF(B321="uncommon", 3, IF(B321="rare", 0.73878, 1)))</f>
        <v/>
      </c>
      <c r="I321" s="3" t="n"/>
      <c r="J321" s="3" t="n"/>
      <c r="K321" s="3" t="n"/>
      <c r="L321" s="3" t="n"/>
      <c r="M321" s="3" t="n"/>
      <c r="N321" s="3" t="n"/>
      <c r="AY321" s="3" t="n"/>
    </row>
    <row r="322">
      <c r="A322" s="3" t="n"/>
      <c r="B322" s="3" t="n"/>
      <c r="C322" s="3" t="n"/>
      <c r="D322" s="3" t="n"/>
      <c r="E322" s="3" t="n"/>
      <c r="F322" s="3">
        <f>IF(B322="common", 4, IF(B322="uncommon", 3, IF(B322="rare", 0.73878, 1)))</f>
        <v/>
      </c>
      <c r="I322" s="3" t="n"/>
      <c r="J322" s="3" t="n"/>
      <c r="K322" s="3" t="n"/>
      <c r="L322" s="3" t="n"/>
      <c r="M322" s="3" t="n"/>
      <c r="N322" s="3" t="n"/>
      <c r="AY322" s="3" t="n"/>
    </row>
    <row r="323">
      <c r="A323" s="3" t="n"/>
      <c r="B323" s="3" t="n"/>
      <c r="C323" s="3" t="n"/>
      <c r="D323" s="3" t="n"/>
      <c r="E323" s="3" t="n"/>
      <c r="F323" s="3">
        <f>IF(B323="common", 4, IF(B323="uncommon", 3, IF(B323="rare", 0.73878, 1)))</f>
        <v/>
      </c>
      <c r="I323" s="3" t="n"/>
      <c r="J323" s="3" t="n"/>
      <c r="K323" s="3" t="n"/>
      <c r="L323" s="3" t="n"/>
      <c r="M323" s="3" t="n"/>
      <c r="N323" s="3" t="n"/>
      <c r="AY323" s="3" t="n"/>
    </row>
    <row r="324">
      <c r="A324" s="3" t="n"/>
      <c r="B324" s="3" t="n"/>
      <c r="C324" s="3" t="n"/>
      <c r="D324" s="3" t="n"/>
      <c r="E324" s="3" t="n"/>
      <c r="F324" s="3">
        <f>IF(B324="common", 4, IF(B324="uncommon", 3, IF(B324="rare", 0.73878, 1)))</f>
        <v/>
      </c>
      <c r="I324" s="3" t="n"/>
      <c r="J324" s="3" t="n"/>
      <c r="K324" s="3" t="n"/>
      <c r="L324" s="3" t="n"/>
      <c r="M324" s="3" t="n"/>
      <c r="N324" s="3" t="n"/>
      <c r="AY324" s="3" t="n"/>
    </row>
    <row r="325">
      <c r="A325" s="3" t="n"/>
      <c r="B325" s="3" t="n"/>
      <c r="C325" s="3" t="n"/>
      <c r="D325" s="3" t="n"/>
      <c r="E325" s="3" t="n"/>
      <c r="F325" s="3">
        <f>IF(B325="common", 4, IF(B325="uncommon", 3, IF(B325="rare", 0.73878, 1)))</f>
        <v/>
      </c>
      <c r="I325" s="3" t="n"/>
      <c r="J325" s="3" t="n"/>
      <c r="K325" s="3" t="n"/>
      <c r="L325" s="3" t="n"/>
      <c r="M325" s="3" t="n"/>
      <c r="N325" s="3" t="n"/>
      <c r="AY325" s="3" t="n"/>
    </row>
    <row r="326">
      <c r="A326" s="3" t="n"/>
      <c r="B326" s="3" t="n"/>
      <c r="C326" s="3" t="n"/>
      <c r="D326" s="3" t="n"/>
      <c r="E326" s="3" t="n"/>
      <c r="F326" s="3">
        <f>IF(B326="common", 4, IF(B326="uncommon", 3, IF(B326="rare", 0.73878, 1)))</f>
        <v/>
      </c>
      <c r="I326" s="3" t="n"/>
      <c r="J326" s="3" t="n"/>
      <c r="K326" s="3" t="n"/>
      <c r="L326" s="3" t="n"/>
      <c r="M326" s="3" t="n"/>
      <c r="N326" s="3" t="n"/>
      <c r="AY326" s="3" t="n"/>
    </row>
    <row r="327">
      <c r="A327" s="3" t="n"/>
      <c r="B327" s="3" t="n"/>
      <c r="C327" s="3" t="n"/>
      <c r="D327" s="3" t="n"/>
      <c r="E327" s="3" t="n"/>
      <c r="F327" s="3">
        <f>IF(B327="common", 4, IF(B327="uncommon", 3, IF(B327="rare", 0.73878, 1)))</f>
        <v/>
      </c>
      <c r="I327" s="3" t="n"/>
      <c r="J327" s="3" t="n"/>
      <c r="K327" s="3" t="n"/>
      <c r="L327" s="3" t="n"/>
      <c r="M327" s="3" t="n"/>
      <c r="N327" s="3" t="n"/>
      <c r="AY327" s="3" t="n"/>
    </row>
    <row r="328">
      <c r="A328" s="3" t="n"/>
      <c r="B328" s="3" t="n"/>
      <c r="C328" s="3" t="n"/>
      <c r="D328" s="3" t="n"/>
      <c r="E328" s="3" t="n"/>
      <c r="F328" s="3" t="n"/>
      <c r="I328" s="3" t="n"/>
      <c r="J328" s="3" t="n"/>
      <c r="K328" s="3" t="n"/>
      <c r="L328" s="3" t="n"/>
      <c r="M328" s="3" t="n"/>
      <c r="N328" s="3" t="n"/>
      <c r="AY328" s="3" t="n"/>
    </row>
    <row r="329">
      <c r="A329" s="3" t="n"/>
      <c r="B329" s="3" t="n"/>
      <c r="C329" s="3" t="n"/>
      <c r="D329" s="3" t="n"/>
      <c r="E329" s="3" t="n"/>
      <c r="F329" s="3" t="n"/>
      <c r="I329" s="3" t="n"/>
      <c r="J329" s="3" t="n"/>
      <c r="K329" s="3" t="n"/>
      <c r="L329" s="3" t="n"/>
      <c r="M329" s="3" t="n"/>
      <c r="N329" s="3" t="n"/>
      <c r="AY329" s="3" t="n"/>
    </row>
    <row r="330">
      <c r="A330" s="3" t="n"/>
      <c r="B330" s="3" t="n"/>
      <c r="C330" s="3" t="n"/>
      <c r="D330" s="3" t="n"/>
      <c r="E330" s="3" t="n"/>
      <c r="F330" s="3" t="n"/>
      <c r="I330" s="3" t="n"/>
      <c r="J330" s="3" t="n"/>
      <c r="K330" s="3" t="n"/>
      <c r="L330" s="3" t="n"/>
      <c r="M330" s="3" t="n"/>
      <c r="N330" s="3" t="n"/>
      <c r="AY330" s="3" t="n"/>
    </row>
    <row r="331">
      <c r="A331" s="3" t="n"/>
      <c r="B331" s="3" t="n"/>
      <c r="C331" s="3" t="n"/>
      <c r="D331" s="3" t="n"/>
      <c r="E331" s="3" t="n"/>
      <c r="F331" s="3" t="n"/>
      <c r="I331" s="3" t="n"/>
      <c r="J331" s="3" t="n"/>
      <c r="K331" s="3" t="n"/>
      <c r="L331" s="3" t="n"/>
      <c r="M331" s="3" t="n"/>
      <c r="N331" s="3" t="n"/>
      <c r="AY331" s="3" t="n"/>
    </row>
    <row r="332">
      <c r="A332" s="3" t="n"/>
      <c r="B332" s="3" t="n"/>
      <c r="C332" s="3" t="n"/>
      <c r="D332" s="3" t="n"/>
      <c r="E332" s="3" t="n"/>
      <c r="F332" s="3" t="n"/>
      <c r="I332" s="3" t="n"/>
      <c r="J332" s="3" t="n"/>
      <c r="K332" s="3" t="n"/>
      <c r="L332" s="3" t="n"/>
      <c r="M332" s="3" t="n"/>
      <c r="N332" s="3" t="n"/>
      <c r="AY332" s="3" t="n"/>
    </row>
    <row r="333">
      <c r="A333" s="3" t="n"/>
      <c r="B333" s="3" t="n"/>
      <c r="C333" s="3" t="n"/>
      <c r="D333" s="3" t="n"/>
      <c r="E333" s="3" t="n"/>
      <c r="F333" s="3" t="n"/>
      <c r="I333" s="3" t="n"/>
      <c r="J333" s="3" t="n"/>
      <c r="K333" s="3" t="n"/>
      <c r="L333" s="3" t="n"/>
      <c r="M333" s="3" t="n"/>
      <c r="N333" s="3" t="n"/>
      <c r="AY333" s="3" t="n"/>
    </row>
    <row r="334">
      <c r="A334" s="3" t="n"/>
      <c r="B334" s="3" t="n"/>
      <c r="C334" s="3" t="n"/>
      <c r="D334" s="3" t="n"/>
      <c r="E334" s="3" t="n"/>
      <c r="F334" s="3" t="n"/>
      <c r="I334" s="3" t="n"/>
      <c r="J334" s="3" t="n"/>
      <c r="K334" s="3" t="n"/>
      <c r="L334" s="3" t="n"/>
      <c r="M334" s="3" t="n"/>
      <c r="N334" s="3" t="n"/>
      <c r="AY334" s="3" t="n"/>
    </row>
    <row r="335">
      <c r="A335" s="3" t="n"/>
      <c r="B335" s="3" t="n"/>
      <c r="C335" s="3" t="n"/>
      <c r="D335" s="3" t="n"/>
      <c r="E335" s="3" t="n"/>
      <c r="F335" s="3" t="n"/>
      <c r="I335" s="3" t="n"/>
      <c r="J335" s="3" t="n"/>
      <c r="K335" s="3" t="n"/>
      <c r="L335" s="3" t="n"/>
      <c r="M335" s="3" t="n"/>
      <c r="N335" s="3" t="n"/>
      <c r="AY335" s="3" t="n"/>
    </row>
    <row r="336">
      <c r="A336" s="3" t="n"/>
      <c r="B336" s="3" t="n"/>
      <c r="C336" s="3" t="n"/>
      <c r="D336" s="3" t="n"/>
      <c r="E336" s="3" t="n"/>
      <c r="F336" s="3" t="n"/>
      <c r="I336" s="3" t="n"/>
      <c r="J336" s="3" t="n"/>
      <c r="K336" s="3" t="n"/>
      <c r="L336" s="3" t="n"/>
      <c r="M336" s="3" t="n"/>
      <c r="N336" s="3" t="n"/>
      <c r="AY336" s="3" t="n"/>
    </row>
    <row r="337">
      <c r="A337" s="3" t="n"/>
      <c r="B337" s="3" t="n"/>
      <c r="C337" s="3" t="n"/>
      <c r="D337" s="3" t="n"/>
      <c r="E337" s="3" t="n"/>
      <c r="F337" s="3" t="n"/>
      <c r="I337" s="3" t="n"/>
      <c r="J337" s="3" t="n"/>
      <c r="K337" s="3" t="n"/>
      <c r="L337" s="3" t="n"/>
      <c r="M337" s="3" t="n"/>
      <c r="N337" s="3" t="n"/>
      <c r="AY337" s="3" t="n"/>
    </row>
    <row r="338">
      <c r="A338" s="3" t="n"/>
      <c r="B338" s="3" t="n"/>
      <c r="C338" s="3" t="n"/>
      <c r="D338" s="3" t="n"/>
      <c r="E338" s="3" t="n"/>
      <c r="F338" s="3" t="n"/>
      <c r="I338" s="3" t="n"/>
      <c r="J338" s="3" t="n"/>
      <c r="K338" s="3" t="n"/>
      <c r="L338" s="3" t="n"/>
      <c r="M338" s="3" t="n"/>
      <c r="N338" s="3" t="n"/>
      <c r="AY338" s="3" t="n"/>
    </row>
    <row r="339">
      <c r="A339" s="3" t="n"/>
      <c r="B339" s="3" t="n"/>
      <c r="C339" s="3" t="n"/>
      <c r="D339" s="3" t="n"/>
      <c r="E339" s="3" t="n"/>
      <c r="F339" s="3" t="n"/>
      <c r="I339" s="3" t="n"/>
      <c r="J339" s="3" t="n"/>
      <c r="K339" s="3" t="n"/>
      <c r="L339" s="3" t="n"/>
      <c r="M339" s="3" t="n"/>
      <c r="N339" s="3" t="n"/>
      <c r="AY339" s="3" t="n"/>
    </row>
    <row r="340">
      <c r="A340" s="3" t="n"/>
      <c r="B340" s="3" t="n"/>
      <c r="C340" s="3" t="n"/>
      <c r="D340" s="3" t="n"/>
      <c r="E340" s="3" t="n"/>
      <c r="F340" s="3" t="n"/>
      <c r="I340" s="3" t="n"/>
      <c r="J340" s="3" t="n"/>
      <c r="K340" s="3" t="n"/>
      <c r="L340" s="3" t="n"/>
      <c r="M340" s="3" t="n"/>
      <c r="N340" s="3" t="n"/>
      <c r="AY340" s="3" t="n"/>
    </row>
    <row r="341">
      <c r="A341" s="3" t="n"/>
      <c r="B341" s="3" t="n"/>
      <c r="C341" s="3" t="n"/>
      <c r="D341" s="3" t="n"/>
      <c r="E341" s="3" t="n"/>
      <c r="F341" s="3" t="n"/>
      <c r="I341" s="3" t="n"/>
      <c r="J341" s="3" t="n"/>
      <c r="K341" s="3" t="n"/>
      <c r="L341" s="3" t="n"/>
      <c r="M341" s="3" t="n"/>
      <c r="N341" s="3" t="n"/>
      <c r="AY341" s="3" t="n"/>
    </row>
    <row r="342">
      <c r="A342" s="3" t="n"/>
      <c r="B342" s="3" t="n"/>
      <c r="C342" s="3" t="n"/>
      <c r="D342" s="3" t="n"/>
      <c r="E342" s="3" t="n"/>
      <c r="F342" s="3" t="n"/>
      <c r="I342" s="3" t="n"/>
      <c r="J342" s="3" t="n"/>
      <c r="K342" s="3" t="n"/>
      <c r="L342" s="3" t="n"/>
      <c r="M342" s="3" t="n"/>
      <c r="N342" s="3" t="n"/>
      <c r="AY342" s="3" t="n"/>
    </row>
    <row r="343">
      <c r="A343" s="3" t="n"/>
      <c r="B343" s="3" t="n"/>
      <c r="C343" s="3" t="n"/>
      <c r="D343" s="3" t="n"/>
      <c r="E343" s="3" t="n"/>
      <c r="F343" s="3" t="n"/>
      <c r="I343" s="3" t="n"/>
      <c r="J343" s="3" t="n"/>
      <c r="K343" s="3" t="n"/>
      <c r="L343" s="3" t="n"/>
      <c r="M343" s="3" t="n"/>
      <c r="N343" s="3" t="n"/>
      <c r="AY343" s="3" t="n"/>
    </row>
    <row r="344">
      <c r="A344" s="3" t="n"/>
      <c r="B344" s="3" t="n"/>
      <c r="C344" s="3" t="n"/>
      <c r="D344" s="3" t="n"/>
      <c r="E344" s="3" t="n"/>
      <c r="F344" s="3" t="n"/>
      <c r="I344" s="3" t="n"/>
      <c r="J344" s="3" t="n"/>
      <c r="K344" s="3" t="n"/>
      <c r="L344" s="3" t="n"/>
      <c r="M344" s="3" t="n"/>
      <c r="N344" s="3" t="n"/>
      <c r="AY344" s="3" t="n"/>
    </row>
    <row r="345">
      <c r="A345" s="3" t="n"/>
      <c r="B345" s="3" t="n"/>
      <c r="C345" s="3" t="n"/>
      <c r="D345" s="3" t="n"/>
      <c r="E345" s="3" t="n"/>
      <c r="F345" s="3" t="n"/>
      <c r="I345" s="3" t="n"/>
      <c r="J345" s="3" t="n"/>
      <c r="K345" s="3" t="n"/>
      <c r="L345" s="3" t="n"/>
      <c r="M345" s="3" t="n"/>
      <c r="N345" s="3" t="n"/>
      <c r="AY345" s="3" t="n"/>
    </row>
    <row r="346">
      <c r="A346" s="3" t="n"/>
      <c r="B346" s="3" t="n"/>
      <c r="C346" s="3" t="n"/>
      <c r="D346" s="3" t="n"/>
      <c r="E346" s="3" t="n"/>
      <c r="F346" s="3" t="n"/>
      <c r="I346" s="3" t="n"/>
      <c r="J346" s="3" t="n"/>
      <c r="K346" s="3" t="n"/>
      <c r="L346" s="3" t="n"/>
      <c r="M346" s="3" t="n"/>
      <c r="N346" s="3" t="n"/>
      <c r="AY346" s="3" t="n"/>
    </row>
    <row r="347">
      <c r="A347" s="3" t="n"/>
      <c r="B347" s="3" t="n"/>
      <c r="C347" s="3" t="n"/>
      <c r="D347" s="3" t="n"/>
      <c r="E347" s="3" t="n"/>
      <c r="F347" s="3" t="n"/>
      <c r="I347" s="3" t="n"/>
      <c r="J347" s="3" t="n"/>
      <c r="K347" s="3" t="n"/>
      <c r="L347" s="3" t="n"/>
      <c r="M347" s="3" t="n"/>
      <c r="N347" s="3" t="n"/>
      <c r="AY347" s="3" t="n"/>
    </row>
    <row r="348">
      <c r="A348" s="3" t="n"/>
      <c r="B348" s="3" t="n"/>
      <c r="C348" s="3" t="n"/>
      <c r="D348" s="3" t="n"/>
      <c r="E348" s="3" t="n"/>
      <c r="F348" s="3" t="n"/>
      <c r="I348" s="3" t="n"/>
      <c r="J348" s="3" t="n"/>
      <c r="K348" s="3" t="n"/>
      <c r="L348" s="3" t="n"/>
      <c r="M348" s="3" t="n"/>
      <c r="N348" s="3" t="n"/>
      <c r="AY348" s="3" t="n"/>
    </row>
    <row r="349">
      <c r="A349" s="3" t="n"/>
      <c r="B349" s="3" t="n"/>
      <c r="C349" s="3" t="n"/>
      <c r="D349" s="3" t="n"/>
      <c r="F349" s="2" t="n"/>
    </row>
    <row r="350">
      <c r="A350" s="3" t="n"/>
      <c r="B350" s="3" t="n"/>
      <c r="C350" s="3" t="n"/>
      <c r="D350" s="3" t="n"/>
      <c r="F350" s="2" t="n"/>
    </row>
    <row r="351">
      <c r="A351" s="3" t="n"/>
      <c r="B351" s="3" t="n"/>
      <c r="C351" s="3" t="n"/>
      <c r="D351" s="3" t="n"/>
      <c r="F351" s="2" t="n"/>
    </row>
    <row r="352">
      <c r="A352" s="3" t="n"/>
      <c r="B352" s="3" t="n"/>
      <c r="C352" s="3" t="n"/>
      <c r="D352" s="3" t="n"/>
      <c r="F352" s="2" t="n"/>
    </row>
    <row r="353">
      <c r="A353" s="3" t="n"/>
      <c r="B353" s="3" t="n"/>
      <c r="C353" s="3" t="n"/>
      <c r="D353" s="3" t="n"/>
      <c r="F353" s="2" t="n"/>
    </row>
    <row r="354">
      <c r="A354" s="3" t="n"/>
      <c r="B354" s="3" t="n"/>
      <c r="C354" s="3" t="n"/>
      <c r="D354" s="3" t="n"/>
    </row>
    <row r="355">
      <c r="A355" s="3" t="n"/>
      <c r="B355" s="3" t="n"/>
      <c r="C355" s="3" t="n"/>
      <c r="D355" s="3" t="n"/>
    </row>
    <row r="356">
      <c r="A356" s="3" t="n"/>
      <c r="B356" s="3" t="n"/>
      <c r="C356" s="3" t="n"/>
      <c r="D356" s="3" t="n"/>
    </row>
    <row r="357">
      <c r="A357" s="3" t="n"/>
      <c r="B357" s="3" t="n"/>
      <c r="C357" s="3" t="n"/>
      <c r="D357" s="3" t="n"/>
    </row>
    <row r="358">
      <c r="A358" s="3" t="n"/>
      <c r="B358" s="3" t="n"/>
      <c r="C358" s="3" t="n"/>
      <c r="D358" s="3" t="n"/>
    </row>
    <row r="359">
      <c r="A359" s="3" t="n"/>
      <c r="B359" s="3" t="n"/>
      <c r="C359" s="3" t="n"/>
      <c r="D359" s="3" t="n"/>
    </row>
    <row r="360">
      <c r="A360" s="3" t="n"/>
      <c r="B360" s="3" t="n"/>
      <c r="C360" s="3" t="n"/>
      <c r="D360" s="3" t="n"/>
    </row>
    <row r="361">
      <c r="A361" s="3" t="n"/>
      <c r="B361" s="3" t="n"/>
      <c r="C361" s="3" t="n"/>
      <c r="D361" s="3" t="n"/>
    </row>
    <row r="362">
      <c r="A362" s="3" t="n"/>
      <c r="B362" s="3" t="n"/>
      <c r="C362" s="3" t="n"/>
      <c r="D362" s="3" t="n"/>
    </row>
    <row r="363">
      <c r="A363" s="3" t="n"/>
      <c r="B363" s="3" t="n"/>
      <c r="C363" s="3" t="n"/>
      <c r="D363" s="3" t="n"/>
    </row>
    <row r="364">
      <c r="A364" s="3" t="n"/>
      <c r="B364" s="3" t="n"/>
      <c r="C364" s="3" t="n"/>
      <c r="D364" s="3" t="n"/>
    </row>
    <row r="365">
      <c r="A365" s="3" t="n"/>
      <c r="B365" s="3" t="n"/>
      <c r="C365" s="3" t="n"/>
      <c r="D365" s="3" t="n"/>
    </row>
    <row r="366">
      <c r="A366" s="3" t="n"/>
      <c r="B366" s="3" t="n"/>
      <c r="C366" s="3" t="n"/>
      <c r="D366" s="3" t="n"/>
    </row>
    <row r="367">
      <c r="A367" s="3" t="n"/>
      <c r="B367" s="3" t="n"/>
      <c r="C367" s="3" t="n"/>
      <c r="D367" s="3" t="n"/>
    </row>
    <row r="368">
      <c r="A368" s="3" t="n"/>
      <c r="B368" s="3" t="n"/>
      <c r="C368" s="3" t="n"/>
      <c r="D368" s="3" t="n"/>
    </row>
    <row r="369">
      <c r="A369" s="3" t="n"/>
      <c r="B369" s="3" t="n"/>
      <c r="C369" s="3" t="n"/>
      <c r="D369" s="3" t="n"/>
    </row>
    <row r="370">
      <c r="A370" s="3" t="n"/>
      <c r="B370" s="3" t="n"/>
      <c r="C370" s="3" t="n"/>
      <c r="D370" s="3" t="n"/>
    </row>
    <row r="371">
      <c r="A371" s="3" t="n"/>
      <c r="B371" s="3" t="n"/>
      <c r="C371" s="3" t="n"/>
      <c r="D371" s="3" t="n"/>
    </row>
    <row r="372">
      <c r="A372" s="3" t="n"/>
      <c r="B372" s="3" t="n"/>
      <c r="C372" s="3" t="n"/>
      <c r="D372" s="3" t="n"/>
    </row>
    <row r="373">
      <c r="A373" s="3" t="n"/>
      <c r="B373" s="3" t="n"/>
      <c r="C373" s="3" t="n"/>
      <c r="D373" s="3" t="n"/>
    </row>
    <row r="374">
      <c r="A374" s="3" t="n"/>
      <c r="B374" s="3" t="n"/>
      <c r="C374" s="3" t="n"/>
      <c r="D374" s="3" t="n"/>
    </row>
    <row r="375">
      <c r="A375" s="3" t="n"/>
      <c r="B375" s="3" t="n"/>
      <c r="C375" s="3" t="n"/>
      <c r="D375" s="3" t="n"/>
    </row>
    <row r="376">
      <c r="A376" s="3" t="n"/>
      <c r="B376" s="3" t="n"/>
      <c r="C376" s="3" t="n"/>
      <c r="D376" s="3" t="n"/>
    </row>
    <row r="377">
      <c r="A377" s="3" t="n"/>
      <c r="B377" s="3" t="n"/>
      <c r="C377" s="3" t="n"/>
      <c r="D377" s="3" t="n"/>
    </row>
    <row r="378">
      <c r="A378" s="3" t="n"/>
      <c r="B378" s="3" t="n"/>
      <c r="C378" s="3" t="n"/>
      <c r="D378" s="3" t="n"/>
    </row>
    <row r="379">
      <c r="A379" s="3" t="n"/>
      <c r="B379" s="3" t="n"/>
      <c r="C379" s="3" t="n"/>
      <c r="D379" s="3" t="n"/>
    </row>
    <row r="380">
      <c r="A380" s="3" t="n"/>
      <c r="B380" s="3" t="n"/>
      <c r="C380" s="3" t="n"/>
      <c r="D380" s="3" t="n"/>
    </row>
    <row r="381">
      <c r="A381" s="3" t="n"/>
      <c r="B381" s="3" t="n"/>
      <c r="C381" s="3" t="n"/>
      <c r="D381" s="3" t="n"/>
    </row>
    <row r="382">
      <c r="A382" s="3" t="n"/>
      <c r="B382" s="3" t="n"/>
      <c r="C382" s="3" t="n"/>
      <c r="D382" s="3" t="n"/>
    </row>
    <row r="383">
      <c r="A383" s="3" t="n"/>
      <c r="B383" s="3" t="n"/>
      <c r="C383" s="3" t="n"/>
      <c r="D383" s="3" t="n"/>
    </row>
    <row r="384">
      <c r="A384" s="3" t="n"/>
      <c r="B384" s="3" t="n"/>
      <c r="C384" s="3" t="n"/>
      <c r="D384" s="3" t="n"/>
    </row>
    <row r="385">
      <c r="A385" s="3" t="n"/>
      <c r="B385" s="3" t="n"/>
      <c r="C385" s="3" t="n"/>
      <c r="D385" s="3" t="n"/>
    </row>
    <row r="386">
      <c r="A386" s="3" t="n"/>
      <c r="B386" s="3" t="n"/>
      <c r="C386" s="3" t="n"/>
      <c r="D386" s="3" t="n"/>
    </row>
    <row r="387">
      <c r="A387" s="3" t="n"/>
      <c r="B387" s="3" t="n"/>
      <c r="C387" s="3" t="n"/>
      <c r="D387" s="3" t="n"/>
    </row>
    <row r="388">
      <c r="A388" s="3" t="n"/>
      <c r="B388" s="3" t="n"/>
      <c r="C388" s="3" t="n"/>
      <c r="D388" s="3" t="n"/>
    </row>
    <row r="389">
      <c r="A389" s="3" t="n"/>
      <c r="B389" s="3" t="n"/>
      <c r="C389" s="3" t="n"/>
      <c r="D389" s="3" t="n"/>
    </row>
    <row r="390">
      <c r="A390" s="3" t="n"/>
      <c r="B390" s="3" t="n"/>
      <c r="C390" s="3" t="n"/>
      <c r="D390" s="3" t="n"/>
    </row>
    <row r="391">
      <c r="A391" s="3" t="n"/>
      <c r="B391" s="3" t="n"/>
      <c r="C391" s="3" t="n"/>
      <c r="D391" s="3" t="n"/>
    </row>
    <row r="392">
      <c r="A392" s="3" t="n"/>
      <c r="B392" s="3" t="n"/>
      <c r="C392" s="3" t="n"/>
      <c r="D392" s="3" t="n"/>
    </row>
    <row r="393">
      <c r="A393" s="3" t="n"/>
      <c r="B393" s="3" t="n"/>
      <c r="C393" s="3" t="n"/>
      <c r="D393" s="3" t="n"/>
    </row>
    <row r="394">
      <c r="A394" s="3" t="n"/>
      <c r="B394" s="3" t="n"/>
      <c r="C394" s="3" t="n"/>
      <c r="D394" s="3" t="n"/>
    </row>
    <row r="395">
      <c r="A395" s="3" t="n"/>
      <c r="B395" s="3" t="n"/>
      <c r="C395" s="3" t="n"/>
      <c r="D395" s="3" t="n"/>
    </row>
    <row r="396">
      <c r="A396" s="3" t="n"/>
      <c r="B396" s="3" t="n"/>
      <c r="C396" s="3" t="n"/>
      <c r="D396" s="3" t="n"/>
    </row>
    <row r="397">
      <c r="A397" s="3" t="n"/>
      <c r="B397" s="3" t="n"/>
      <c r="C397" s="3" t="n"/>
      <c r="D397" s="3" t="n"/>
    </row>
    <row r="398">
      <c r="A398" s="3" t="n"/>
      <c r="B398" s="3" t="n"/>
      <c r="C398" s="3" t="n"/>
      <c r="D398" s="3" t="n"/>
    </row>
    <row r="399">
      <c r="A399" s="3" t="n"/>
      <c r="B399" s="3" t="n"/>
      <c r="C399" s="3" t="n"/>
      <c r="D399" s="3" t="n"/>
    </row>
    <row r="400">
      <c r="A400" s="3" t="n"/>
      <c r="B400" s="3" t="n"/>
      <c r="C400" s="3" t="n"/>
      <c r="D400" s="3" t="n"/>
    </row>
    <row r="401">
      <c r="A401" s="3" t="n"/>
      <c r="B401" s="3" t="n"/>
      <c r="C401" s="3" t="n"/>
      <c r="D401" s="3" t="n"/>
    </row>
    <row r="402">
      <c r="A402" s="3" t="n"/>
      <c r="B402" s="3" t="n"/>
      <c r="C402" s="3" t="n"/>
      <c r="D402" s="3" t="n"/>
    </row>
    <row r="403">
      <c r="A403" s="3" t="n"/>
      <c r="B403" s="3" t="n"/>
      <c r="C403" s="3" t="n"/>
      <c r="D403" s="3" t="n"/>
    </row>
    <row r="404">
      <c r="A404" s="3" t="n"/>
      <c r="B404" s="3" t="n"/>
      <c r="C404" s="3" t="n"/>
      <c r="D404" s="3" t="n"/>
    </row>
    <row r="405">
      <c r="A405" s="3" t="n"/>
      <c r="B405" s="3" t="n"/>
      <c r="C405" s="3" t="n"/>
      <c r="D405" s="3" t="n"/>
    </row>
    <row r="406">
      <c r="A406" s="3" t="n"/>
      <c r="B406" s="3" t="n"/>
      <c r="C406" s="3" t="n"/>
      <c r="D406" s="3" t="n"/>
    </row>
    <row r="407">
      <c r="A407" s="3" t="n"/>
      <c r="B407" s="3" t="n"/>
      <c r="C407" s="3" t="n"/>
      <c r="D407" s="3" t="n"/>
    </row>
    <row r="408">
      <c r="A408" s="3" t="n"/>
      <c r="B408" s="3" t="n"/>
      <c r="C408" s="3" t="n"/>
      <c r="D408" s="3" t="n"/>
    </row>
    <row r="409">
      <c r="A409" s="3" t="n"/>
      <c r="B409" s="3" t="n"/>
      <c r="C409" s="3" t="n"/>
      <c r="D409" s="3" t="n"/>
    </row>
    <row r="410">
      <c r="A410" s="3" t="n"/>
      <c r="B410" s="3" t="n"/>
      <c r="C410" s="3" t="n"/>
      <c r="D410" s="3" t="n"/>
    </row>
    <row r="411">
      <c r="A411" s="3" t="n"/>
      <c r="B411" s="3" t="n"/>
      <c r="C411" s="3" t="n"/>
      <c r="D411" s="3" t="n"/>
    </row>
    <row r="412">
      <c r="A412" s="3" t="n"/>
      <c r="B412" s="3" t="n"/>
      <c r="C412" s="3" t="n"/>
      <c r="D412" s="3" t="n"/>
    </row>
    <row r="413">
      <c r="A413" s="3" t="n"/>
      <c r="B413" s="3" t="n"/>
      <c r="C413" s="3" t="n"/>
      <c r="D413" s="3" t="n"/>
    </row>
    <row r="414">
      <c r="A414" s="3" t="n"/>
      <c r="B414" s="3" t="n"/>
      <c r="C414" s="3" t="n"/>
      <c r="D414" s="3" t="n"/>
    </row>
    <row r="415">
      <c r="A415" s="3" t="n"/>
      <c r="B415" s="3" t="n"/>
      <c r="C415" s="3" t="n"/>
      <c r="D415" s="3" t="n"/>
    </row>
    <row r="416">
      <c r="A416" s="3" t="n"/>
      <c r="B416" s="3" t="n"/>
      <c r="C416" s="3" t="n"/>
      <c r="D416" s="3" t="n"/>
    </row>
    <row r="417">
      <c r="A417" s="3" t="n"/>
      <c r="B417" s="3" t="n"/>
      <c r="C417" s="3" t="n"/>
      <c r="D417" s="3" t="n"/>
    </row>
    <row r="418">
      <c r="A418" s="3" t="n"/>
      <c r="B418" s="3" t="n"/>
      <c r="C418" s="3" t="n"/>
      <c r="D418" s="3" t="n"/>
    </row>
    <row r="419">
      <c r="A419" s="3" t="n"/>
      <c r="B419" s="3" t="n"/>
      <c r="C419" s="3" t="n"/>
      <c r="D419" s="3" t="n"/>
    </row>
    <row r="420">
      <c r="A420" s="3" t="n"/>
      <c r="B420" s="3" t="n"/>
      <c r="C420" s="3" t="n"/>
      <c r="D420" s="3" t="n"/>
    </row>
    <row r="421">
      <c r="A421" s="3" t="n"/>
      <c r="B421" s="3" t="n"/>
      <c r="C421" s="3" t="n"/>
      <c r="D421" s="3" t="n"/>
    </row>
    <row r="422">
      <c r="A422" s="3" t="n"/>
      <c r="B422" s="3" t="n"/>
      <c r="C422" s="3" t="n"/>
      <c r="D422" s="3" t="n"/>
    </row>
    <row r="423">
      <c r="A423" s="3" t="n"/>
      <c r="B423" s="3" t="n"/>
      <c r="C423" s="3" t="n"/>
      <c r="D423" s="3" t="n"/>
    </row>
    <row r="424">
      <c r="A424" s="3" t="n"/>
      <c r="B424" s="3" t="n"/>
      <c r="C424" s="3" t="n"/>
      <c r="D424" s="3" t="n"/>
    </row>
    <row r="425">
      <c r="A425" s="3" t="n"/>
      <c r="B425" s="3" t="n"/>
      <c r="C425" s="3" t="n"/>
      <c r="D425" s="3" t="n"/>
    </row>
    <row r="426">
      <c r="A426" s="3" t="n"/>
      <c r="B426" s="3" t="n"/>
      <c r="C426" s="3" t="n"/>
      <c r="D426" s="3" t="n"/>
    </row>
    <row r="427">
      <c r="A427" s="3" t="n"/>
      <c r="B427" s="3" t="n"/>
      <c r="C427" s="3" t="n"/>
      <c r="D427" s="3" t="n"/>
    </row>
    <row r="428">
      <c r="A428" s="3" t="n"/>
      <c r="B428" s="3" t="n"/>
      <c r="C428" s="3" t="n"/>
      <c r="D428" s="3" t="n"/>
    </row>
    <row r="429">
      <c r="A429" s="3" t="n"/>
      <c r="B429" s="3" t="n"/>
      <c r="C429" s="3" t="n"/>
      <c r="D429" s="3" t="n"/>
    </row>
    <row r="430">
      <c r="A430" s="3" t="n"/>
      <c r="B430" s="3" t="n"/>
      <c r="C430" s="3" t="n"/>
      <c r="D430" s="3" t="n"/>
    </row>
    <row r="431">
      <c r="A431" s="3" t="n"/>
      <c r="B431" s="3" t="n"/>
      <c r="C431" s="3" t="n"/>
      <c r="D431" s="3" t="n"/>
    </row>
    <row r="432">
      <c r="A432" s="3" t="n"/>
      <c r="B432" s="3" t="n"/>
      <c r="C432" s="3" t="n"/>
      <c r="D432" s="3" t="n"/>
    </row>
    <row r="433">
      <c r="A433" s="3" t="n"/>
      <c r="B433" s="3" t="n"/>
      <c r="C433" s="3" t="n"/>
      <c r="D433" s="3" t="n"/>
    </row>
    <row r="434">
      <c r="A434" s="3" t="n"/>
      <c r="B434" s="3" t="n"/>
      <c r="C434" s="3" t="n"/>
      <c r="D434" s="3" t="n"/>
    </row>
    <row r="435">
      <c r="A435" s="3" t="n"/>
      <c r="B435" s="3" t="n"/>
      <c r="C435" s="3" t="n"/>
      <c r="D435" s="3" t="n"/>
    </row>
    <row r="436">
      <c r="A436" s="3" t="n"/>
      <c r="B436" s="3" t="n"/>
      <c r="C436" s="3" t="n"/>
      <c r="D436" s="3" t="n"/>
    </row>
    <row r="437">
      <c r="A437" s="3" t="n"/>
      <c r="B437" s="3" t="n"/>
      <c r="C437" s="3" t="n"/>
      <c r="D437" s="3" t="n"/>
    </row>
    <row r="438">
      <c r="A438" s="3" t="n"/>
      <c r="B438" s="3" t="n"/>
      <c r="C438" s="3" t="n"/>
      <c r="D438" s="3" t="n"/>
    </row>
    <row r="439">
      <c r="A439" s="3" t="n"/>
      <c r="B439" s="3" t="n"/>
      <c r="C439" s="3" t="n"/>
      <c r="D439" s="3" t="n"/>
    </row>
    <row r="440">
      <c r="A440" s="3" t="n"/>
      <c r="B440" s="3" t="n"/>
      <c r="C440" s="3" t="n"/>
      <c r="D440" s="3" t="n"/>
    </row>
    <row r="441">
      <c r="A441" s="3" t="n"/>
      <c r="B441" s="3" t="n"/>
      <c r="C441" s="3" t="n"/>
      <c r="D441" s="3" t="n"/>
    </row>
    <row r="442">
      <c r="A442" s="3" t="n"/>
      <c r="B442" s="3" t="n"/>
      <c r="C442" s="3" t="n"/>
      <c r="D442" s="3" t="n"/>
    </row>
    <row r="443">
      <c r="A443" s="3" t="n"/>
      <c r="B443" s="3" t="n"/>
      <c r="C443" s="3" t="n"/>
      <c r="D443" s="3" t="n"/>
    </row>
    <row r="444">
      <c r="A444" s="3" t="n"/>
      <c r="B444" s="3" t="n"/>
      <c r="C444" s="3" t="n"/>
      <c r="D444" s="3" t="n"/>
    </row>
    <row r="445">
      <c r="A445" s="3" t="n"/>
      <c r="B445" s="3" t="n"/>
      <c r="C445" s="3" t="n"/>
      <c r="D445" s="3" t="n"/>
    </row>
    <row r="446">
      <c r="A446" s="3" t="n"/>
      <c r="B446" s="3" t="n"/>
      <c r="C446" s="3" t="n"/>
      <c r="D446" s="3" t="n"/>
    </row>
    <row r="447">
      <c r="A447" s="3" t="n"/>
      <c r="B447" s="3" t="n"/>
      <c r="C447" s="3" t="n"/>
      <c r="D447" s="3" t="n"/>
    </row>
    <row r="448">
      <c r="A448" s="3" t="n"/>
      <c r="B448" s="3" t="n"/>
      <c r="C448" s="3" t="n"/>
      <c r="D448" s="3" t="n"/>
    </row>
    <row r="449">
      <c r="A449" s="3" t="n"/>
      <c r="B449" s="3" t="n"/>
      <c r="C449" s="3" t="n"/>
      <c r="D449" s="3" t="n"/>
    </row>
    <row r="450">
      <c r="A450" s="3" t="n"/>
      <c r="B450" s="3" t="n"/>
      <c r="C450" s="3" t="n"/>
      <c r="D450" s="3" t="n"/>
    </row>
    <row r="451">
      <c r="A451" s="3" t="n"/>
      <c r="B451" s="3" t="n"/>
      <c r="C451" s="3" t="n"/>
      <c r="D451" s="3" t="n"/>
    </row>
    <row r="452">
      <c r="A452" s="3" t="n"/>
      <c r="B452" s="3" t="n"/>
      <c r="C452" s="3" t="n"/>
      <c r="D452" s="3" t="n"/>
    </row>
    <row r="453">
      <c r="A453" s="3" t="n"/>
      <c r="B453" s="3" t="n"/>
      <c r="C453" s="3" t="n"/>
      <c r="D453" s="3" t="n"/>
    </row>
    <row r="454">
      <c r="A454" s="3" t="n"/>
      <c r="B454" s="3" t="n"/>
      <c r="C454" s="3" t="n"/>
      <c r="D454" s="3" t="n"/>
    </row>
    <row r="455">
      <c r="A455" s="3" t="n"/>
      <c r="B455" s="3" t="n"/>
      <c r="C455" s="3" t="n"/>
      <c r="D455" s="3" t="n"/>
    </row>
    <row r="456">
      <c r="A456" s="3" t="n"/>
      <c r="B456" s="3" t="n"/>
      <c r="C456" s="3" t="n"/>
      <c r="D456" s="3" t="n"/>
    </row>
    <row r="457">
      <c r="A457" s="3" t="n"/>
      <c r="B457" s="3" t="n"/>
      <c r="C457" s="3" t="n"/>
      <c r="D457" s="3" t="n"/>
    </row>
    <row r="458">
      <c r="A458" s="3" t="n"/>
      <c r="B458" s="3" t="n"/>
      <c r="C458" s="3" t="n"/>
      <c r="D458" s="3" t="n"/>
    </row>
    <row r="459">
      <c r="A459" s="3" t="n"/>
      <c r="B459" s="3" t="n"/>
      <c r="C459" s="3" t="n"/>
      <c r="D459" s="3" t="n"/>
    </row>
    <row r="460">
      <c r="A460" s="3" t="n"/>
      <c r="B460" s="3" t="n"/>
      <c r="C460" s="3" t="n"/>
      <c r="D460" s="3" t="n"/>
    </row>
    <row r="461">
      <c r="A461" s="3" t="n"/>
      <c r="B461" s="3" t="n"/>
      <c r="C461" s="3" t="n"/>
      <c r="D461" s="3" t="n"/>
    </row>
    <row r="462">
      <c r="A462" s="3" t="n"/>
      <c r="B462" s="3" t="n"/>
      <c r="C462" s="3" t="n"/>
      <c r="D462" s="3" t="n"/>
    </row>
    <row r="463">
      <c r="A463" s="3" t="n"/>
      <c r="B463" s="3" t="n"/>
      <c r="C463" s="3" t="n"/>
      <c r="D463" s="3" t="n"/>
    </row>
    <row r="464">
      <c r="A464" s="3" t="n"/>
      <c r="B464" s="3" t="n"/>
      <c r="C464" s="3" t="n"/>
      <c r="D464" s="3" t="n"/>
    </row>
    <row r="465">
      <c r="A465" s="3" t="n"/>
      <c r="B465" s="3" t="n"/>
      <c r="C465" s="3" t="n"/>
      <c r="D465" s="3" t="n"/>
    </row>
    <row r="466">
      <c r="A466" s="3" t="n"/>
      <c r="B466" s="3" t="n"/>
      <c r="C466" s="3" t="n"/>
      <c r="D466" s="3" t="n"/>
    </row>
    <row r="467">
      <c r="A467" s="3" t="n"/>
      <c r="B467" s="3" t="n"/>
      <c r="C467" s="3" t="n"/>
      <c r="D467" s="3" t="n"/>
    </row>
    <row r="468">
      <c r="A468" s="3" t="n"/>
      <c r="B468" s="3" t="n"/>
      <c r="C468" s="3" t="n"/>
      <c r="D468" s="3" t="n"/>
    </row>
    <row r="469">
      <c r="A469" s="3" t="n"/>
      <c r="B469" s="3" t="n"/>
      <c r="C469" s="3" t="n"/>
      <c r="D469" s="3" t="n"/>
    </row>
    <row r="470">
      <c r="A470" s="3" t="n"/>
      <c r="B470" s="3" t="n"/>
      <c r="C470" s="3" t="n"/>
      <c r="D470" s="3" t="n"/>
    </row>
    <row r="471">
      <c r="A471" s="3" t="n"/>
      <c r="B471" s="3" t="n"/>
      <c r="C471" s="3" t="n"/>
      <c r="D471" s="3" t="n"/>
    </row>
    <row r="472">
      <c r="A472" s="3" t="n"/>
      <c r="B472" s="3" t="n"/>
      <c r="C472" s="3" t="n"/>
      <c r="D472" s="3" t="n"/>
    </row>
    <row r="473">
      <c r="A473" s="3" t="n"/>
      <c r="B473" s="3" t="n"/>
      <c r="C473" s="3" t="n"/>
      <c r="D473" s="3" t="n"/>
    </row>
    <row r="474">
      <c r="A474" s="3" t="n"/>
      <c r="B474" s="3" t="n"/>
      <c r="C474" s="3" t="n"/>
      <c r="D474" s="3" t="n"/>
    </row>
    <row r="475">
      <c r="A475" s="3" t="n"/>
      <c r="B475" s="3" t="n"/>
      <c r="C475" s="3" t="n"/>
      <c r="D475" s="3" t="n"/>
    </row>
    <row r="476">
      <c r="A476" s="3" t="n"/>
      <c r="B476" s="3" t="n"/>
      <c r="C476" s="3" t="n"/>
      <c r="D476" s="3" t="n"/>
    </row>
    <row r="477">
      <c r="A477" s="3" t="n"/>
      <c r="B477" s="3" t="n"/>
      <c r="C477" s="3" t="n"/>
      <c r="D477" s="3" t="n"/>
    </row>
    <row r="478">
      <c r="A478" s="3" t="n"/>
      <c r="B478" s="3" t="n"/>
      <c r="C478" s="3" t="n"/>
      <c r="D478" s="3" t="n"/>
    </row>
    <row r="479">
      <c r="A479" s="3" t="n"/>
      <c r="B479" s="3" t="n"/>
      <c r="C479" s="3" t="n"/>
      <c r="D479" s="3" t="n"/>
    </row>
    <row r="480">
      <c r="A480" s="3" t="n"/>
      <c r="B480" s="3" t="n"/>
      <c r="C480" s="3" t="n"/>
      <c r="D480" s="3" t="n"/>
    </row>
    <row r="481">
      <c r="A481" s="3" t="n"/>
      <c r="B481" s="3" t="n"/>
      <c r="C481" s="3" t="n"/>
      <c r="D481" s="3" t="n"/>
    </row>
    <row r="482">
      <c r="A482" s="3" t="n"/>
      <c r="B482" s="3" t="n"/>
      <c r="C482" s="3" t="n"/>
      <c r="D482" s="3" t="n"/>
    </row>
    <row r="483">
      <c r="A483" s="3" t="n"/>
      <c r="B483" s="3" t="n"/>
      <c r="C483" s="3" t="n"/>
      <c r="D483" s="3" t="n"/>
    </row>
    <row r="484">
      <c r="A484" s="3" t="n"/>
      <c r="B484" s="3" t="n"/>
      <c r="C484" s="3" t="n"/>
      <c r="D484" s="3" t="n"/>
    </row>
    <row r="485">
      <c r="A485" s="3" t="n"/>
      <c r="B485" s="3" t="n"/>
      <c r="C485" s="3" t="n"/>
      <c r="D485" s="3" t="n"/>
    </row>
    <row r="486">
      <c r="A486" s="3" t="n"/>
      <c r="B486" s="3" t="n"/>
      <c r="C486" s="3" t="n"/>
      <c r="D486" s="3" t="n"/>
    </row>
    <row r="487">
      <c r="A487" s="3" t="n"/>
      <c r="B487" s="3" t="n"/>
      <c r="C487" s="3" t="n"/>
      <c r="D487" s="3" t="n"/>
    </row>
    <row r="488">
      <c r="A488" s="3" t="n"/>
      <c r="B488" s="3" t="n"/>
      <c r="C488" s="3" t="n"/>
      <c r="D488" s="3" t="n"/>
    </row>
    <row r="489">
      <c r="A489" s="3" t="n"/>
      <c r="B489" s="3" t="n"/>
      <c r="C489" s="3" t="n"/>
      <c r="D489" s="3" t="n"/>
    </row>
    <row r="490">
      <c r="A490" s="3" t="n"/>
      <c r="B490" s="3" t="n"/>
      <c r="C490" s="3" t="n"/>
      <c r="D490" s="3" t="n"/>
    </row>
    <row r="491">
      <c r="A491" s="3" t="n"/>
      <c r="B491" s="3" t="n"/>
      <c r="C491" s="3" t="n"/>
      <c r="D491" s="3" t="n"/>
    </row>
    <row r="492">
      <c r="A492" s="3" t="n"/>
      <c r="B492" s="3" t="n"/>
      <c r="C492" s="3" t="n"/>
      <c r="D492" s="3" t="n"/>
    </row>
    <row r="493">
      <c r="A493" s="3" t="n"/>
      <c r="B493" s="3" t="n"/>
      <c r="C493" s="3" t="n"/>
      <c r="D493" s="3" t="n"/>
    </row>
    <row r="494">
      <c r="A494" s="3" t="n"/>
      <c r="B494" s="3" t="n"/>
      <c r="C494" s="3" t="n"/>
      <c r="D494" s="3" t="n"/>
    </row>
    <row r="495">
      <c r="A495" s="3" t="n"/>
      <c r="B495" s="3" t="n"/>
      <c r="C495" s="3" t="n"/>
      <c r="D495" s="3" t="n"/>
    </row>
    <row r="496">
      <c r="A496" s="3" t="n"/>
      <c r="B496" s="3" t="n"/>
      <c r="C496" s="3" t="n"/>
      <c r="D496" s="3" t="n"/>
    </row>
    <row r="497">
      <c r="A497" s="3" t="n"/>
      <c r="B497" s="3" t="n"/>
      <c r="C497" s="3" t="n"/>
      <c r="D497" s="3" t="n"/>
    </row>
    <row r="498">
      <c r="A498" s="3" t="n"/>
      <c r="B498" s="3" t="n"/>
      <c r="C498" s="3" t="n"/>
      <c r="D498" s="3" t="n"/>
    </row>
    <row r="499">
      <c r="A499" s="3" t="n"/>
      <c r="B499" s="3" t="n"/>
      <c r="C499" s="3" t="n"/>
      <c r="D499" s="3" t="n"/>
    </row>
    <row r="500">
      <c r="A500" s="3" t="n"/>
      <c r="B500" s="3" t="n"/>
      <c r="C500" s="3" t="n"/>
      <c r="D500" s="3" t="n"/>
    </row>
    <row r="501">
      <c r="A501" s="3" t="n"/>
      <c r="B501" s="3" t="n"/>
      <c r="C501" s="3" t="n"/>
      <c r="D501" s="3" t="n"/>
    </row>
    <row r="502">
      <c r="A502" s="3" t="n"/>
      <c r="B502" s="3" t="n"/>
      <c r="C502" s="3" t="n"/>
      <c r="D502" s="3" t="n"/>
    </row>
    <row r="503">
      <c r="A503" s="3" t="n"/>
      <c r="B503" s="3" t="n"/>
      <c r="C503" s="3" t="n"/>
      <c r="D503" s="3" t="n"/>
    </row>
    <row r="504">
      <c r="A504" s="3" t="n"/>
      <c r="B504" s="3" t="n"/>
      <c r="C504" s="3" t="n"/>
      <c r="D504" s="3" t="n"/>
    </row>
    <row r="505">
      <c r="A505" s="3" t="n"/>
      <c r="B505" s="3" t="n"/>
      <c r="C505" s="3" t="n"/>
      <c r="D505" s="3" t="n"/>
    </row>
    <row r="506">
      <c r="A506" s="3" t="n"/>
      <c r="B506" s="3" t="n"/>
      <c r="C506" s="3" t="n"/>
      <c r="D506" s="3" t="n"/>
    </row>
    <row r="507">
      <c r="A507" s="3" t="n"/>
      <c r="B507" s="3" t="n"/>
      <c r="C507" s="3" t="n"/>
      <c r="D507" s="3" t="n"/>
    </row>
    <row r="508">
      <c r="A508" s="3" t="n"/>
      <c r="B508" s="3" t="n"/>
      <c r="C508" s="3" t="n"/>
      <c r="D508" s="3" t="n"/>
    </row>
    <row r="509">
      <c r="A509" s="3" t="n"/>
      <c r="B509" s="3" t="n"/>
      <c r="C509" s="3" t="n"/>
      <c r="D509" s="3" t="n"/>
    </row>
    <row r="510">
      <c r="A510" s="3" t="n"/>
      <c r="B510" s="3" t="n"/>
      <c r="C510" s="3" t="n"/>
      <c r="D510" s="3" t="n"/>
    </row>
    <row r="511">
      <c r="A511" s="3" t="n"/>
      <c r="B511" s="3" t="n"/>
      <c r="C511" s="3" t="n"/>
      <c r="D511" s="3" t="n"/>
    </row>
    <row r="512">
      <c r="A512" s="3" t="n"/>
      <c r="B512" s="3" t="n"/>
      <c r="C512" s="3" t="n"/>
      <c r="D512" s="3" t="n"/>
    </row>
    <row r="513">
      <c r="A513" s="3" t="n"/>
      <c r="B513" s="3" t="n"/>
      <c r="C513" s="3" t="n"/>
      <c r="D513" s="3" t="n"/>
    </row>
    <row r="514">
      <c r="A514" s="3" t="n"/>
      <c r="B514" s="3" t="n"/>
      <c r="C514" s="3" t="n"/>
      <c r="D514" s="3" t="n"/>
    </row>
    <row r="515">
      <c r="A515" s="3" t="n"/>
      <c r="B515" s="3" t="n"/>
      <c r="C515" s="3" t="n"/>
      <c r="D515" s="3" t="n"/>
    </row>
    <row r="516">
      <c r="A516" s="3" t="n"/>
      <c r="B516" s="3" t="n"/>
      <c r="C516" s="3" t="n"/>
      <c r="D516" s="3" t="n"/>
    </row>
    <row r="517">
      <c r="A517" s="3" t="n"/>
      <c r="B517" s="3" t="n"/>
      <c r="C517" s="3" t="n"/>
      <c r="D517" s="3" t="n"/>
    </row>
    <row r="518">
      <c r="A518" s="3" t="n"/>
      <c r="B518" s="3" t="n"/>
      <c r="C518" s="3" t="n"/>
      <c r="D518" s="3" t="n"/>
    </row>
    <row r="519">
      <c r="A519" s="3" t="n"/>
      <c r="B519" s="3" t="n"/>
      <c r="C519" s="3" t="n"/>
      <c r="D519" s="3" t="n"/>
    </row>
    <row r="520">
      <c r="A520" s="3" t="n"/>
      <c r="B520" s="3" t="n"/>
      <c r="C520" s="3" t="n"/>
      <c r="D520" s="3" t="n"/>
    </row>
    <row r="521">
      <c r="A521" s="3" t="n"/>
      <c r="B521" s="3" t="n"/>
      <c r="C521" s="3" t="n"/>
      <c r="D521" s="3" t="n"/>
    </row>
    <row r="522">
      <c r="A522" s="3" t="n"/>
      <c r="B522" s="3" t="n"/>
      <c r="C522" s="3" t="n"/>
      <c r="D522" s="3" t="n"/>
    </row>
    <row r="523">
      <c r="A523" s="3" t="n"/>
      <c r="B523" s="3" t="n"/>
      <c r="C523" s="3" t="n"/>
      <c r="D523" s="3" t="n"/>
    </row>
    <row r="524">
      <c r="A524" s="3" t="n"/>
      <c r="B524" s="3" t="n"/>
      <c r="C524" s="3" t="n"/>
      <c r="D524" s="3" t="n"/>
    </row>
    <row r="525">
      <c r="A525" s="3" t="n"/>
      <c r="B525" s="3" t="n"/>
      <c r="C525" s="3" t="n"/>
      <c r="D525" s="3" t="n"/>
    </row>
    <row r="526">
      <c r="A526" s="3" t="n"/>
      <c r="B526" s="3" t="n"/>
      <c r="C526" s="3" t="n"/>
      <c r="D526" s="3" t="n"/>
    </row>
    <row r="527">
      <c r="A527" s="3" t="n"/>
      <c r="B527" s="3" t="n"/>
      <c r="C527" s="3" t="n"/>
      <c r="D527" s="3" t="n"/>
    </row>
    <row r="528">
      <c r="A528" s="3" t="n"/>
      <c r="B528" s="3" t="n"/>
      <c r="C528" s="3" t="n"/>
      <c r="D528" s="3" t="n"/>
    </row>
    <row r="529">
      <c r="A529" s="3" t="n"/>
      <c r="B529" s="3" t="n"/>
      <c r="C529" s="3" t="n"/>
      <c r="D529" s="3" t="n"/>
    </row>
    <row r="530">
      <c r="A530" s="3" t="n"/>
      <c r="B530" s="3" t="n"/>
      <c r="C530" s="3" t="n"/>
      <c r="D530" s="3" t="n"/>
    </row>
    <row r="531">
      <c r="A531" s="3" t="n"/>
      <c r="B531" s="3" t="n"/>
      <c r="C531" s="3" t="n"/>
      <c r="D531" s="3" t="n"/>
    </row>
    <row r="532">
      <c r="A532" s="3" t="n"/>
      <c r="B532" s="3" t="n"/>
      <c r="C532" s="3" t="n"/>
      <c r="D532" s="3" t="n"/>
    </row>
    <row r="533">
      <c r="A533" s="3" t="n"/>
      <c r="B533" s="3" t="n"/>
      <c r="C533" s="3" t="n"/>
      <c r="D533" s="3" t="n"/>
    </row>
    <row r="534">
      <c r="A534" s="3" t="n"/>
      <c r="B534" s="3" t="n"/>
      <c r="C534" s="3" t="n"/>
      <c r="D534" s="3" t="n"/>
    </row>
    <row r="535">
      <c r="A535" s="3" t="n"/>
      <c r="B535" s="3" t="n"/>
      <c r="C535" s="3" t="n"/>
      <c r="D535" s="3" t="n"/>
    </row>
    <row r="536">
      <c r="A536" s="3" t="n"/>
      <c r="B536" s="3" t="n"/>
      <c r="C536" s="3" t="n"/>
      <c r="D536" s="3" t="n"/>
    </row>
    <row r="537">
      <c r="A537" s="3" t="n"/>
      <c r="B537" s="3" t="n"/>
      <c r="C537" s="3" t="n"/>
      <c r="D537" s="3" t="n"/>
    </row>
    <row r="538">
      <c r="A538" s="3" t="n"/>
      <c r="B538" s="3" t="n"/>
      <c r="C538" s="3" t="n"/>
      <c r="D538" s="3" t="n"/>
    </row>
    <row r="539">
      <c r="A539" s="3" t="n"/>
      <c r="B539" s="3" t="n"/>
      <c r="C539" s="3" t="n"/>
      <c r="D539" s="3" t="n"/>
    </row>
    <row r="540">
      <c r="A540" s="3" t="n"/>
      <c r="B540" s="3" t="n"/>
      <c r="C540" s="3" t="n"/>
      <c r="D540" s="3" t="n"/>
    </row>
    <row r="541">
      <c r="A541" s="3" t="n"/>
      <c r="B541" s="3" t="n"/>
      <c r="C541" s="3" t="n"/>
      <c r="D541" s="3" t="n"/>
    </row>
    <row r="542">
      <c r="A542" s="3" t="n"/>
      <c r="B542" s="3" t="n"/>
      <c r="C542" s="3" t="n"/>
      <c r="D542" s="3" t="n"/>
    </row>
    <row r="543">
      <c r="A543" s="3" t="n"/>
      <c r="B543" s="3" t="n"/>
      <c r="C543" s="3" t="n"/>
      <c r="D543" s="3" t="n"/>
    </row>
    <row r="544">
      <c r="A544" s="3" t="n"/>
      <c r="B544" s="3" t="n"/>
      <c r="C544" s="3" t="n"/>
      <c r="D544" s="3" t="n"/>
    </row>
    <row r="545">
      <c r="A545" s="3" t="n"/>
      <c r="B545" s="3" t="n"/>
      <c r="C545" s="3" t="n"/>
      <c r="D545" s="3" t="n"/>
    </row>
    <row r="546">
      <c r="A546" s="3" t="n"/>
      <c r="B546" s="3" t="n"/>
      <c r="C546" s="3" t="n"/>
      <c r="D546" s="3" t="n"/>
    </row>
    <row r="547">
      <c r="A547" s="3" t="n"/>
      <c r="B547" s="3" t="n"/>
      <c r="C547" s="3" t="n"/>
      <c r="D547" s="3" t="n"/>
    </row>
    <row r="548">
      <c r="A548" s="3" t="n"/>
      <c r="B548" s="3" t="n"/>
      <c r="C548" s="3" t="n"/>
      <c r="D548" s="3" t="n"/>
    </row>
    <row r="549">
      <c r="A549" s="3" t="n"/>
      <c r="B549" s="3" t="n"/>
      <c r="C549" s="3" t="n"/>
      <c r="D549" s="3" t="n"/>
    </row>
    <row r="550">
      <c r="A550" s="3" t="n"/>
      <c r="B550" s="3" t="n"/>
      <c r="C550" s="3" t="n"/>
      <c r="D550" s="3" t="n"/>
    </row>
    <row r="551">
      <c r="A551" s="3" t="n"/>
      <c r="B551" s="3" t="n"/>
      <c r="C551" s="3" t="n"/>
      <c r="D551" s="3" t="n"/>
    </row>
    <row r="552">
      <c r="A552" s="3" t="n"/>
      <c r="B552" s="3" t="n"/>
      <c r="C552" s="3" t="n"/>
      <c r="D552" s="3" t="n"/>
    </row>
    <row r="553">
      <c r="A553" s="3" t="n"/>
      <c r="B553" s="3" t="n"/>
      <c r="C553" s="3" t="n"/>
      <c r="D553" s="3" t="n"/>
    </row>
    <row r="554">
      <c r="A554" s="3" t="n"/>
      <c r="B554" s="3" t="n"/>
      <c r="C554" s="3" t="n"/>
      <c r="D554" s="3" t="n"/>
    </row>
    <row r="555">
      <c r="A555" s="3" t="n"/>
      <c r="B555" s="3" t="n"/>
      <c r="C555" s="3" t="n"/>
      <c r="D555" s="3" t="n"/>
    </row>
    <row r="556">
      <c r="A556" s="3" t="n"/>
      <c r="B556" s="3" t="n"/>
      <c r="C556" s="3" t="n"/>
      <c r="D556" s="3" t="n"/>
    </row>
    <row r="557">
      <c r="A557" s="3" t="n"/>
      <c r="B557" s="3" t="n"/>
      <c r="C557" s="3" t="n"/>
      <c r="D557" s="3" t="n"/>
    </row>
    <row r="558">
      <c r="A558" s="3" t="n"/>
      <c r="B558" s="3" t="n"/>
      <c r="C558" s="3" t="n"/>
      <c r="D558" s="3" t="n"/>
    </row>
    <row r="559">
      <c r="A559" s="3" t="n"/>
      <c r="B559" s="3" t="n"/>
      <c r="C559" s="3" t="n"/>
      <c r="D559" s="3" t="n"/>
    </row>
    <row r="560">
      <c r="A560" s="3" t="n"/>
      <c r="B560" s="3" t="n"/>
      <c r="C560" s="3" t="n"/>
      <c r="D560" s="3" t="n"/>
    </row>
    <row r="561">
      <c r="A561" s="3" t="n"/>
      <c r="B561" s="3" t="n"/>
      <c r="C561" s="3" t="n"/>
      <c r="D561" s="3" t="n"/>
    </row>
    <row r="562">
      <c r="A562" s="3" t="n"/>
      <c r="B562" s="3" t="n"/>
      <c r="C562" s="3" t="n"/>
      <c r="D562" s="3" t="n"/>
    </row>
    <row r="563">
      <c r="A563" s="3" t="n"/>
      <c r="B563" s="3" t="n"/>
      <c r="C563" s="3" t="n"/>
      <c r="D563" s="3" t="n"/>
    </row>
    <row r="564">
      <c r="A564" s="3" t="n"/>
      <c r="B564" s="3" t="n"/>
      <c r="C564" s="3" t="n"/>
      <c r="D564" s="3" t="n"/>
    </row>
    <row r="565">
      <c r="A565" s="3" t="n"/>
      <c r="B565" s="3" t="n"/>
      <c r="C565" s="3" t="n"/>
      <c r="D565" s="3" t="n"/>
    </row>
    <row r="566">
      <c r="A566" s="3" t="n"/>
      <c r="B566" s="3" t="n"/>
      <c r="C566" s="3" t="n"/>
      <c r="D566" s="3" t="n"/>
    </row>
    <row r="567">
      <c r="A567" s="3" t="n"/>
      <c r="B567" s="3" t="n"/>
      <c r="C567" s="3" t="n"/>
      <c r="D567" s="3" t="n"/>
    </row>
    <row r="568">
      <c r="A568" s="3" t="n"/>
      <c r="B568" s="3" t="n"/>
      <c r="C568" s="3" t="n"/>
      <c r="D568" s="3" t="n"/>
    </row>
    <row r="569">
      <c r="A569" s="3" t="n"/>
      <c r="B569" s="3" t="n"/>
      <c r="C569" s="3" t="n"/>
      <c r="D569" s="3" t="n"/>
    </row>
    <row r="570">
      <c r="A570" s="3" t="n"/>
      <c r="B570" s="3" t="n"/>
      <c r="C570" s="3" t="n"/>
      <c r="D570" s="3" t="n"/>
    </row>
    <row r="571">
      <c r="A571" s="3" t="n"/>
      <c r="B571" s="3" t="n"/>
      <c r="C571" s="3" t="n"/>
      <c r="D571" s="3" t="n"/>
    </row>
    <row r="572">
      <c r="A572" s="3" t="n"/>
      <c r="B572" s="3" t="n"/>
      <c r="C572" s="3" t="n"/>
      <c r="D572" s="3" t="n"/>
    </row>
    <row r="573">
      <c r="A573" s="3" t="n"/>
      <c r="B573" s="3" t="n"/>
      <c r="C573" s="3" t="n"/>
      <c r="D573" s="3" t="n"/>
    </row>
    <row r="574">
      <c r="A574" s="3" t="n"/>
      <c r="B574" s="3" t="n"/>
      <c r="C574" s="3" t="n"/>
      <c r="D574" s="3" t="n"/>
    </row>
    <row r="575">
      <c r="A575" s="3" t="n"/>
      <c r="B575" s="3" t="n"/>
      <c r="C575" s="3" t="n"/>
      <c r="D575" s="3" t="n"/>
    </row>
    <row r="576">
      <c r="A576" s="3" t="n"/>
      <c r="B576" s="3" t="n"/>
      <c r="C576" s="3" t="n"/>
      <c r="D576" s="3" t="n"/>
    </row>
    <row r="577">
      <c r="A577" s="3" t="n"/>
      <c r="B577" s="3" t="n"/>
      <c r="C577" s="3" t="n"/>
      <c r="D577" s="3" t="n"/>
    </row>
    <row r="578">
      <c r="A578" s="3" t="n"/>
      <c r="B578" s="3" t="n"/>
      <c r="C578" s="3" t="n"/>
      <c r="D578" s="3" t="n"/>
    </row>
    <row r="579">
      <c r="A579" s="3" t="n"/>
      <c r="B579" s="3" t="n"/>
      <c r="C579" s="3" t="n"/>
      <c r="D579" s="3" t="n"/>
    </row>
    <row r="580">
      <c r="A580" s="3" t="n"/>
      <c r="B580" s="3" t="n"/>
      <c r="C580" s="3" t="n"/>
      <c r="D580" s="3" t="n"/>
    </row>
    <row r="581">
      <c r="A581" s="3" t="n"/>
      <c r="B581" s="3" t="n"/>
      <c r="C581" s="3" t="n"/>
      <c r="D581" s="3" t="n"/>
    </row>
    <row r="582">
      <c r="A582" s="3" t="n"/>
      <c r="B582" s="3" t="n"/>
      <c r="C582" s="3" t="n"/>
      <c r="D582" s="3" t="n"/>
    </row>
    <row r="583">
      <c r="A583" s="3" t="n"/>
      <c r="B583" s="3" t="n"/>
      <c r="C583" s="3" t="n"/>
      <c r="D583" s="3" t="n"/>
    </row>
    <row r="584">
      <c r="A584" s="3" t="n"/>
      <c r="B584" s="3" t="n"/>
      <c r="C584" s="3" t="n"/>
      <c r="D584" s="3" t="n"/>
    </row>
    <row r="585">
      <c r="A585" s="3" t="n"/>
      <c r="B585" s="3" t="n"/>
      <c r="C585" s="3" t="n"/>
      <c r="D585" s="3" t="n"/>
    </row>
    <row r="586">
      <c r="A586" s="3" t="n"/>
      <c r="B586" s="3" t="n"/>
      <c r="C586" s="3" t="n"/>
      <c r="D586" s="3" t="n"/>
    </row>
    <row r="587">
      <c r="A587" s="3" t="n"/>
      <c r="B587" s="3" t="n"/>
      <c r="C587" s="3" t="n"/>
      <c r="D587" s="3" t="n"/>
    </row>
    <row r="588">
      <c r="A588" s="3" t="n"/>
      <c r="B588" s="3" t="n"/>
      <c r="C588" s="3" t="n"/>
      <c r="D588" s="3" t="n"/>
    </row>
    <row r="589">
      <c r="A589" s="3" t="n"/>
      <c r="B589" s="3" t="n"/>
      <c r="C589" s="3" t="n"/>
      <c r="D589" s="3" t="n"/>
    </row>
    <row r="590">
      <c r="A590" s="3" t="n"/>
      <c r="B590" s="3" t="n"/>
      <c r="C590" s="3" t="n"/>
      <c r="D590" s="3" t="n"/>
    </row>
    <row r="591">
      <c r="A591" s="3" t="n"/>
      <c r="B591" s="3" t="n"/>
      <c r="C591" s="3" t="n"/>
      <c r="D591" s="3" t="n"/>
    </row>
    <row r="592">
      <c r="A592" s="3" t="n"/>
      <c r="B592" s="3" t="n"/>
      <c r="C592" s="3" t="n"/>
      <c r="D592" s="3" t="n"/>
    </row>
    <row r="593">
      <c r="A593" s="3" t="n"/>
      <c r="B593" s="3" t="n"/>
      <c r="C593" s="3" t="n"/>
      <c r="D593" s="3" t="n"/>
    </row>
    <row r="594">
      <c r="A594" s="3" t="n"/>
      <c r="B594" s="3" t="n"/>
      <c r="C594" s="3" t="n"/>
      <c r="D594" s="3" t="n"/>
    </row>
    <row r="595">
      <c r="A595" s="3" t="n"/>
      <c r="B595" s="3" t="n"/>
      <c r="C595" s="3" t="n"/>
      <c r="D595" s="3" t="n"/>
    </row>
    <row r="596">
      <c r="A596" s="3" t="n"/>
      <c r="B596" s="3" t="n"/>
      <c r="C596" s="3" t="n"/>
      <c r="D596" s="3" t="n"/>
    </row>
    <row r="597">
      <c r="A597" s="3" t="n"/>
      <c r="B597" s="3" t="n"/>
      <c r="C597" s="3" t="n"/>
      <c r="D597" s="3" t="n"/>
    </row>
    <row r="598">
      <c r="A598" s="3" t="n"/>
      <c r="B598" s="3" t="n"/>
      <c r="C598" s="3" t="n"/>
      <c r="D598" s="3" t="n"/>
    </row>
    <row r="599">
      <c r="A599" s="3" t="n"/>
      <c r="B599" s="3" t="n"/>
      <c r="C599" s="3" t="n"/>
      <c r="D599" s="3" t="n"/>
    </row>
    <row r="600">
      <c r="A600" s="3" t="n"/>
      <c r="B600" s="3" t="n"/>
      <c r="C600" s="3" t="n"/>
      <c r="D600" s="3" t="n"/>
    </row>
    <row r="601">
      <c r="A601" s="3" t="n"/>
      <c r="B601" s="3" t="n"/>
      <c r="C601" s="3" t="n"/>
      <c r="D601" s="3" t="n"/>
    </row>
    <row r="602">
      <c r="A602" s="3" t="n"/>
      <c r="B602" s="3" t="n"/>
      <c r="C602" s="3" t="n"/>
      <c r="D602" s="3" t="n"/>
    </row>
    <row r="603">
      <c r="A603" s="3" t="n"/>
      <c r="B603" s="3" t="n"/>
      <c r="C603" s="3" t="n"/>
      <c r="D603" s="3" t="n"/>
    </row>
    <row r="604">
      <c r="A604" s="3" t="n"/>
      <c r="B604" s="3" t="n"/>
      <c r="C604" s="3" t="n"/>
      <c r="D604" s="3" t="n"/>
    </row>
    <row r="605">
      <c r="A605" s="3" t="n"/>
      <c r="B605" s="3" t="n"/>
      <c r="C605" s="3" t="n"/>
      <c r="D605" s="3" t="n"/>
    </row>
    <row r="606">
      <c r="A606" s="3" t="n"/>
      <c r="B606" s="3" t="n"/>
      <c r="C606" s="3" t="n"/>
      <c r="D606" s="3" t="n"/>
    </row>
    <row r="607">
      <c r="A607" s="3" t="n"/>
      <c r="B607" s="3" t="n"/>
      <c r="C607" s="3" t="n"/>
      <c r="D607" s="3" t="n"/>
    </row>
    <row r="608">
      <c r="A608" s="3" t="n"/>
      <c r="B608" s="3" t="n"/>
      <c r="C608" s="3" t="n"/>
      <c r="D608" s="3" t="n"/>
    </row>
    <row r="609">
      <c r="A609" s="3" t="n"/>
      <c r="B609" s="3" t="n"/>
      <c r="C609" s="3" t="n"/>
      <c r="D609" s="3" t="n"/>
    </row>
    <row r="610">
      <c r="A610" s="3" t="n"/>
      <c r="B610" s="3" t="n"/>
      <c r="C610" s="3" t="n"/>
      <c r="D610" s="3" t="n"/>
    </row>
    <row r="611">
      <c r="A611" s="3" t="n"/>
      <c r="B611" s="3" t="n"/>
      <c r="C611" s="3" t="n"/>
      <c r="D611" s="3" t="n"/>
    </row>
    <row r="612">
      <c r="A612" s="3" t="n"/>
      <c r="B612" s="3" t="n"/>
      <c r="C612" s="3" t="n"/>
      <c r="D612" s="3" t="n"/>
    </row>
    <row r="613">
      <c r="A613" s="3" t="n"/>
      <c r="B613" s="3" t="n"/>
      <c r="C613" s="3" t="n"/>
      <c r="D613" s="3" t="n"/>
    </row>
    <row r="614">
      <c r="A614" s="3" t="n"/>
      <c r="B614" s="3" t="n"/>
      <c r="C614" s="3" t="n"/>
      <c r="D614" s="3" t="n"/>
    </row>
    <row r="615">
      <c r="A615" s="3" t="n"/>
      <c r="B615" s="3" t="n"/>
      <c r="C615" s="3" t="n"/>
      <c r="D615" s="3" t="n"/>
    </row>
    <row r="616">
      <c r="A616" s="3" t="n"/>
      <c r="B616" s="3" t="n"/>
      <c r="C616" s="3" t="n"/>
      <c r="D616" s="3" t="n"/>
    </row>
    <row r="617">
      <c r="A617" s="3" t="n"/>
      <c r="B617" s="3" t="n"/>
      <c r="C617" s="3" t="n"/>
      <c r="D617" s="3" t="n"/>
    </row>
    <row r="618">
      <c r="A618" s="3" t="n"/>
      <c r="B618" s="3" t="n"/>
      <c r="C618" s="3" t="n"/>
      <c r="D618" s="3" t="n"/>
    </row>
    <row r="619">
      <c r="A619" s="3" t="n"/>
      <c r="B619" s="3" t="n"/>
      <c r="C619" s="3" t="n"/>
      <c r="D619" s="3" t="n"/>
    </row>
    <row r="620">
      <c r="A620" s="3" t="n"/>
      <c r="B620" s="3" t="n"/>
      <c r="C620" s="3" t="n"/>
      <c r="D620" s="3" t="n"/>
    </row>
    <row r="621">
      <c r="A621" s="3" t="n"/>
      <c r="B621" s="3" t="n"/>
      <c r="C621" s="3" t="n"/>
      <c r="D621" s="3" t="n"/>
    </row>
    <row r="622">
      <c r="A622" s="3" t="n"/>
      <c r="B622" s="3" t="n"/>
      <c r="C622" s="3" t="n"/>
      <c r="D622" s="3" t="n"/>
    </row>
    <row r="623">
      <c r="A623" s="3" t="n"/>
      <c r="B623" s="3" t="n"/>
      <c r="C623" s="3" t="n"/>
      <c r="D623" s="3" t="n"/>
    </row>
    <row r="624">
      <c r="A624" s="3" t="n"/>
      <c r="B624" s="3" t="n"/>
      <c r="C624" s="3" t="n"/>
      <c r="D624" s="3" t="n"/>
    </row>
    <row r="625">
      <c r="A625" s="3" t="n"/>
      <c r="B625" s="3" t="n"/>
      <c r="C625" s="3" t="n"/>
      <c r="D625" s="3" t="n"/>
    </row>
    <row r="626">
      <c r="A626" s="3" t="n"/>
      <c r="B626" s="3" t="n"/>
      <c r="C626" s="3" t="n"/>
      <c r="D626" s="3" t="n"/>
    </row>
    <row r="627">
      <c r="A627" s="3" t="n"/>
      <c r="B627" s="3" t="n"/>
      <c r="C627" s="3" t="n"/>
      <c r="D627" s="3" t="n"/>
    </row>
    <row r="628">
      <c r="A628" s="3" t="n"/>
      <c r="B628" s="3" t="n"/>
      <c r="C628" s="3" t="n"/>
      <c r="D628" s="3" t="n"/>
    </row>
    <row r="629">
      <c r="A629" s="3" t="n"/>
      <c r="B629" s="3" t="n"/>
      <c r="C629" s="3" t="n"/>
      <c r="D629" s="3" t="n"/>
    </row>
    <row r="630">
      <c r="A630" s="3" t="n"/>
      <c r="B630" s="3" t="n"/>
      <c r="C630" s="3" t="n"/>
      <c r="D630" s="3" t="n"/>
    </row>
    <row r="631">
      <c r="A631" s="3" t="n"/>
      <c r="B631" s="3" t="n"/>
      <c r="C631" s="3" t="n"/>
      <c r="D631" s="3" t="n"/>
    </row>
    <row r="632">
      <c r="A632" s="3" t="n"/>
      <c r="B632" s="3" t="n"/>
      <c r="C632" s="3" t="n"/>
      <c r="D632" s="3" t="n"/>
    </row>
    <row r="633">
      <c r="A633" s="3" t="n"/>
      <c r="B633" s="3" t="n"/>
      <c r="C633" s="3" t="n"/>
      <c r="D633" s="3" t="n"/>
    </row>
    <row r="634">
      <c r="A634" s="3" t="n"/>
      <c r="B634" s="3" t="n"/>
      <c r="C634" s="3" t="n"/>
      <c r="D634" s="3" t="n"/>
    </row>
    <row r="635">
      <c r="A635" s="3" t="n"/>
      <c r="B635" s="3" t="n"/>
      <c r="C635" s="3" t="n"/>
      <c r="D635" s="3" t="n"/>
    </row>
    <row r="636">
      <c r="A636" s="3" t="n"/>
      <c r="B636" s="3" t="n"/>
      <c r="C636" s="3" t="n"/>
      <c r="D636" s="3" t="n"/>
    </row>
    <row r="637">
      <c r="A637" s="3" t="n"/>
      <c r="B637" s="3" t="n"/>
      <c r="C637" s="3" t="n"/>
      <c r="D637" s="3" t="n"/>
    </row>
    <row r="638">
      <c r="A638" s="3" t="n"/>
      <c r="B638" s="3" t="n"/>
      <c r="C638" s="3" t="n"/>
      <c r="D638" s="3" t="n"/>
    </row>
    <row r="639">
      <c r="A639" s="3" t="n"/>
      <c r="B639" s="3" t="n"/>
      <c r="C639" s="3" t="n"/>
      <c r="D639" s="3" t="n"/>
    </row>
    <row r="640">
      <c r="A640" s="3" t="n"/>
      <c r="B640" s="3" t="n"/>
      <c r="C640" s="3" t="n"/>
      <c r="D640" s="3" t="n"/>
    </row>
    <row r="641">
      <c r="A641" s="3" t="n"/>
      <c r="B641" s="3" t="n"/>
      <c r="C641" s="3" t="n"/>
      <c r="D641" s="3" t="n"/>
    </row>
    <row r="642">
      <c r="A642" s="3" t="n"/>
      <c r="B642" s="3" t="n"/>
      <c r="C642" s="3" t="n"/>
      <c r="D642" s="3" t="n"/>
    </row>
    <row r="643">
      <c r="A643" s="3" t="n"/>
      <c r="B643" s="3" t="n"/>
      <c r="C643" s="3" t="n"/>
      <c r="D643" s="3" t="n"/>
    </row>
    <row r="644">
      <c r="A644" s="3" t="n"/>
      <c r="B644" s="3" t="n"/>
      <c r="C644" s="3" t="n"/>
      <c r="D644" s="3" t="n"/>
    </row>
    <row r="645">
      <c r="A645" s="3" t="n"/>
      <c r="B645" s="3" t="n"/>
      <c r="C645" s="3" t="n"/>
      <c r="D645" s="3" t="n"/>
    </row>
    <row r="646">
      <c r="A646" s="3" t="n"/>
      <c r="B646" s="3" t="n"/>
      <c r="C646" s="3" t="n"/>
      <c r="D646" s="3" t="n"/>
    </row>
    <row r="647">
      <c r="A647" s="3" t="n"/>
      <c r="B647" s="3" t="n"/>
      <c r="C647" s="3" t="n"/>
      <c r="D647" s="3" t="n"/>
    </row>
    <row r="648">
      <c r="A648" s="3" t="n"/>
      <c r="B648" s="3" t="n"/>
      <c r="C648" s="3" t="n"/>
      <c r="D648" s="3" t="n"/>
    </row>
    <row r="649">
      <c r="A649" s="3" t="n"/>
      <c r="B649" s="3" t="n"/>
      <c r="C649" s="3" t="n"/>
      <c r="D649" s="3" t="n"/>
    </row>
    <row r="650">
      <c r="A650" s="3" t="n"/>
      <c r="B650" s="3" t="n"/>
      <c r="C650" s="3" t="n"/>
      <c r="D650" s="3" t="n"/>
    </row>
    <row r="651">
      <c r="A651" s="3" t="n"/>
      <c r="B651" s="3" t="n"/>
      <c r="C651" s="3" t="n"/>
      <c r="D651" s="3" t="n"/>
    </row>
    <row r="652">
      <c r="A652" s="3" t="n"/>
      <c r="B652" s="3" t="n"/>
      <c r="C652" s="3" t="n"/>
      <c r="D652" s="3" t="n"/>
    </row>
    <row r="653">
      <c r="A653" s="3" t="n"/>
      <c r="B653" s="3" t="n"/>
      <c r="C653" s="3" t="n"/>
      <c r="D653" s="3" t="n"/>
    </row>
    <row r="654">
      <c r="A654" s="3" t="n"/>
      <c r="B654" s="3" t="n"/>
      <c r="C654" s="3" t="n"/>
      <c r="D654" s="3" t="n"/>
    </row>
    <row r="655">
      <c r="A655" s="3" t="n"/>
      <c r="B655" s="3" t="n"/>
      <c r="C655" s="3" t="n"/>
      <c r="D655" s="3" t="n"/>
    </row>
    <row r="656">
      <c r="A656" s="3" t="n"/>
      <c r="B656" s="3" t="n"/>
      <c r="C656" s="3" t="n"/>
      <c r="D656" s="3" t="n"/>
    </row>
    <row r="657">
      <c r="A657" s="3" t="n"/>
      <c r="B657" s="3" t="n"/>
      <c r="C657" s="3" t="n"/>
      <c r="D657" s="3" t="n"/>
    </row>
    <row r="658">
      <c r="A658" s="3" t="n"/>
      <c r="B658" s="3" t="n"/>
      <c r="C658" s="3" t="n"/>
      <c r="D658" s="3" t="n"/>
    </row>
    <row r="659">
      <c r="A659" s="3" t="n"/>
      <c r="B659" s="3" t="n"/>
      <c r="C659" s="3" t="n"/>
      <c r="D659" s="3" t="n"/>
    </row>
    <row r="660">
      <c r="A660" s="3" t="n"/>
      <c r="B660" s="3" t="n"/>
      <c r="C660" s="3" t="n"/>
      <c r="D660" s="3" t="n"/>
    </row>
    <row r="661">
      <c r="A661" s="3" t="n"/>
      <c r="B661" s="3" t="n"/>
      <c r="C661" s="3" t="n"/>
      <c r="D661" s="3" t="n"/>
    </row>
    <row r="662">
      <c r="A662" s="3" t="n"/>
      <c r="B662" s="3" t="n"/>
      <c r="C662" s="3" t="n"/>
      <c r="D662" s="3" t="n"/>
    </row>
    <row r="663">
      <c r="A663" s="3" t="n"/>
      <c r="B663" s="3" t="n"/>
      <c r="C663" s="3" t="n"/>
      <c r="D663" s="3" t="n"/>
    </row>
    <row r="664">
      <c r="A664" s="3" t="n"/>
      <c r="B664" s="3" t="n"/>
      <c r="C664" s="3" t="n"/>
      <c r="D664" s="3" t="n"/>
    </row>
    <row r="665">
      <c r="A665" s="3" t="n"/>
      <c r="B665" s="3" t="n"/>
      <c r="C665" s="3" t="n"/>
      <c r="D665" s="3" t="n"/>
    </row>
    <row r="666">
      <c r="A666" s="3" t="n"/>
      <c r="B666" s="3" t="n"/>
      <c r="C666" s="3" t="n"/>
      <c r="D666" s="3" t="n"/>
    </row>
    <row r="667">
      <c r="A667" s="3" t="n"/>
      <c r="B667" s="3" t="n"/>
      <c r="C667" s="3" t="n"/>
      <c r="D667" s="3" t="n"/>
    </row>
    <row r="668">
      <c r="A668" s="3" t="n"/>
      <c r="B668" s="3" t="n"/>
      <c r="C668" s="3" t="n"/>
      <c r="D668" s="3" t="n"/>
    </row>
    <row r="669">
      <c r="A669" s="3" t="n"/>
      <c r="B669" s="3" t="n"/>
      <c r="C669" s="3" t="n"/>
      <c r="D669" s="3" t="n"/>
    </row>
    <row r="670">
      <c r="A670" s="3" t="n"/>
      <c r="B670" s="3" t="n"/>
      <c r="C670" s="3" t="n"/>
      <c r="D670" s="3" t="n"/>
    </row>
    <row r="671">
      <c r="A671" s="3" t="n"/>
      <c r="B671" s="3" t="n"/>
      <c r="C671" s="3" t="n"/>
      <c r="D671" s="3" t="n"/>
    </row>
    <row r="672">
      <c r="A672" s="3" t="n"/>
      <c r="B672" s="3" t="n"/>
      <c r="C672" s="3" t="n"/>
      <c r="D672" s="3" t="n"/>
    </row>
    <row r="673">
      <c r="A673" s="3" t="n"/>
      <c r="B673" s="3" t="n"/>
      <c r="C673" s="3" t="n"/>
      <c r="D673" s="3" t="n"/>
    </row>
    <row r="674">
      <c r="A674" s="3" t="n"/>
      <c r="B674" s="3" t="n"/>
      <c r="C674" s="3" t="n"/>
      <c r="D674" s="3" t="n"/>
    </row>
    <row r="675">
      <c r="A675" s="3" t="n"/>
      <c r="B675" s="3" t="n"/>
      <c r="C675" s="3" t="n"/>
      <c r="D675" s="3" t="n"/>
    </row>
    <row r="676">
      <c r="A676" s="3" t="n"/>
      <c r="B676" s="3" t="n"/>
      <c r="C676" s="3" t="n"/>
      <c r="D676" s="3" t="n"/>
    </row>
    <row r="677">
      <c r="A677" s="3" t="n"/>
      <c r="B677" s="3" t="n"/>
      <c r="C677" s="3" t="n"/>
      <c r="D677" s="3" t="n"/>
    </row>
    <row r="678">
      <c r="A678" s="3" t="n"/>
      <c r="B678" s="3" t="n"/>
      <c r="C678" s="3" t="n"/>
      <c r="D678" s="3" t="n"/>
    </row>
    <row r="679">
      <c r="A679" s="3" t="n"/>
      <c r="B679" s="3" t="n"/>
      <c r="C679" s="3" t="n"/>
      <c r="D679" s="3" t="n"/>
    </row>
    <row r="680">
      <c r="A680" s="3" t="n"/>
      <c r="B680" s="3" t="n"/>
      <c r="C680" s="3" t="n"/>
      <c r="D680" s="3" t="n"/>
    </row>
    <row r="681">
      <c r="A681" s="3" t="n"/>
      <c r="B681" s="3" t="n"/>
      <c r="C681" s="3" t="n"/>
      <c r="D681" s="3" t="n"/>
    </row>
    <row r="682">
      <c r="A682" s="3" t="n"/>
      <c r="B682" s="3" t="n"/>
      <c r="C682" s="3" t="n"/>
      <c r="D682" s="3" t="n"/>
    </row>
    <row r="683">
      <c r="A683" s="3" t="n"/>
      <c r="B683" s="3" t="n"/>
      <c r="C683" s="3" t="n"/>
      <c r="D683" s="3" t="n"/>
    </row>
    <row r="684">
      <c r="A684" s="3" t="n"/>
      <c r="B684" s="3" t="n"/>
      <c r="C684" s="3" t="n"/>
      <c r="D684" s="3" t="n"/>
    </row>
    <row r="685">
      <c r="A685" s="3" t="n"/>
      <c r="B685" s="3" t="n"/>
      <c r="C685" s="3" t="n"/>
      <c r="D685" s="3" t="n"/>
    </row>
    <row r="686">
      <c r="A686" s="3" t="n"/>
      <c r="B686" s="3" t="n"/>
      <c r="C686" s="3" t="n"/>
      <c r="D686" s="3" t="n"/>
    </row>
    <row r="687">
      <c r="A687" s="3" t="n"/>
      <c r="B687" s="3" t="n"/>
      <c r="C687" s="3" t="n"/>
      <c r="D687" s="3" t="n"/>
    </row>
    <row r="688">
      <c r="A688" s="3" t="n"/>
      <c r="B688" s="3" t="n"/>
      <c r="C688" s="3" t="n"/>
      <c r="D688" s="3" t="n"/>
    </row>
    <row r="689">
      <c r="A689" s="3" t="n"/>
      <c r="B689" s="3" t="n"/>
      <c r="C689" s="3" t="n"/>
      <c r="D689" s="3" t="n"/>
    </row>
    <row r="690">
      <c r="A690" s="3" t="n"/>
      <c r="B690" s="3" t="n"/>
      <c r="C690" s="3" t="n"/>
      <c r="D690" s="3" t="n"/>
    </row>
    <row r="691">
      <c r="A691" s="3" t="n"/>
      <c r="B691" s="3" t="n"/>
      <c r="C691" s="3" t="n"/>
      <c r="D691" s="3" t="n"/>
    </row>
    <row r="692">
      <c r="A692" s="3" t="n"/>
      <c r="B692" s="3" t="n"/>
      <c r="C692" s="3" t="n"/>
      <c r="D692" s="3" t="n"/>
    </row>
    <row r="693">
      <c r="A693" s="3" t="n"/>
      <c r="B693" s="3" t="n"/>
      <c r="C693" s="3" t="n"/>
      <c r="D693" s="3" t="n"/>
    </row>
    <row r="694">
      <c r="A694" s="3" t="n"/>
      <c r="B694" s="3" t="n"/>
      <c r="C694" s="3" t="n"/>
      <c r="D694" s="3" t="n"/>
    </row>
    <row r="695">
      <c r="A695" s="3" t="n"/>
      <c r="B695" s="3" t="n"/>
      <c r="C695" s="3" t="n"/>
      <c r="D695" s="3" t="n"/>
    </row>
    <row r="696">
      <c r="A696" s="3" t="n"/>
      <c r="B696" s="3" t="n"/>
      <c r="C696" s="3" t="n"/>
      <c r="D696" s="3" t="n"/>
    </row>
    <row r="697">
      <c r="A697" s="3" t="n"/>
      <c r="B697" s="3" t="n"/>
      <c r="C697" s="3" t="n"/>
      <c r="D697" s="3" t="n"/>
    </row>
    <row r="698">
      <c r="A698" s="3" t="n"/>
      <c r="B698" s="3" t="n"/>
      <c r="C698" s="3" t="n"/>
      <c r="D698" s="3" t="n"/>
    </row>
    <row r="699">
      <c r="A699" s="3" t="n"/>
      <c r="B699" s="3" t="n"/>
      <c r="C699" s="3" t="n"/>
      <c r="D699" s="3" t="n"/>
    </row>
    <row r="700">
      <c r="A700" s="3" t="n"/>
      <c r="B700" s="3" t="n"/>
      <c r="C700" s="3" t="n"/>
      <c r="D700" s="3" t="n"/>
    </row>
    <row r="701">
      <c r="A701" s="3" t="n"/>
      <c r="B701" s="3" t="n"/>
      <c r="C701" s="3" t="n"/>
      <c r="D701" s="3" t="n"/>
    </row>
    <row r="702">
      <c r="A702" s="3" t="n"/>
      <c r="B702" s="3" t="n"/>
      <c r="C702" s="3" t="n"/>
      <c r="D702" s="3" t="n"/>
    </row>
    <row r="703">
      <c r="A703" s="3" t="n"/>
      <c r="B703" s="3" t="n"/>
      <c r="C703" s="3" t="n"/>
      <c r="D703" s="3" t="n"/>
    </row>
    <row r="704">
      <c r="A704" s="3" t="n"/>
      <c r="B704" s="3" t="n"/>
      <c r="C704" s="3" t="n"/>
      <c r="D704" s="3" t="n"/>
    </row>
    <row r="705">
      <c r="A705" s="3" t="n"/>
      <c r="B705" s="3" t="n"/>
      <c r="C705" s="3" t="n"/>
      <c r="D705" s="3" t="n"/>
    </row>
    <row r="706">
      <c r="A706" s="3" t="n"/>
      <c r="B706" s="3" t="n"/>
      <c r="C706" s="3" t="n"/>
      <c r="D706" s="3" t="n"/>
    </row>
    <row r="707">
      <c r="A707" s="3" t="n"/>
      <c r="B707" s="3" t="n"/>
      <c r="C707" s="3" t="n"/>
      <c r="D707" s="3" t="n"/>
    </row>
    <row r="708">
      <c r="A708" s="3" t="n"/>
      <c r="B708" s="3" t="n"/>
      <c r="C708" s="3" t="n"/>
      <c r="D708" s="3" t="n"/>
    </row>
    <row r="709">
      <c r="A709" s="3" t="n"/>
      <c r="B709" s="3" t="n"/>
      <c r="C709" s="3" t="n"/>
      <c r="D709" s="3" t="n"/>
    </row>
    <row r="710">
      <c r="A710" s="3" t="n"/>
      <c r="B710" s="3" t="n"/>
      <c r="C710" s="3" t="n"/>
      <c r="D710" s="3" t="n"/>
    </row>
    <row r="711">
      <c r="A711" s="3" t="n"/>
      <c r="B711" s="3" t="n"/>
      <c r="C711" s="3" t="n"/>
      <c r="D711" s="3" t="n"/>
    </row>
    <row r="712">
      <c r="A712" s="3" t="n"/>
      <c r="B712" s="3" t="n"/>
      <c r="C712" s="3" t="n"/>
      <c r="D712" s="3" t="n"/>
    </row>
    <row r="713">
      <c r="A713" s="3" t="n"/>
      <c r="B713" s="3" t="n"/>
      <c r="C713" s="3" t="n"/>
      <c r="D713" s="3" t="n"/>
    </row>
    <row r="714">
      <c r="A714" s="3" t="n"/>
      <c r="B714" s="3" t="n"/>
      <c r="C714" s="3" t="n"/>
      <c r="D714" s="3" t="n"/>
    </row>
    <row r="715">
      <c r="A715" s="3" t="n"/>
      <c r="B715" s="3" t="n"/>
      <c r="C715" s="3" t="n"/>
      <c r="D715" s="3" t="n"/>
    </row>
    <row r="716">
      <c r="A716" s="3" t="n"/>
      <c r="B716" s="3" t="n"/>
      <c r="C716" s="3" t="n"/>
      <c r="D716" s="3" t="n"/>
    </row>
    <row r="717">
      <c r="A717" s="3" t="n"/>
      <c r="B717" s="3" t="n"/>
      <c r="C717" s="3" t="n"/>
      <c r="D717" s="3" t="n"/>
    </row>
    <row r="718">
      <c r="A718" s="3" t="n"/>
      <c r="B718" s="3" t="n"/>
      <c r="C718" s="3" t="n"/>
      <c r="D718" s="3" t="n"/>
    </row>
    <row r="719">
      <c r="A719" s="3" t="n"/>
      <c r="B719" s="3" t="n"/>
      <c r="C719" s="3" t="n"/>
      <c r="D719" s="3" t="n"/>
    </row>
    <row r="720">
      <c r="A720" s="3" t="n"/>
      <c r="B720" s="3" t="n"/>
      <c r="C720" s="3" t="n"/>
      <c r="D720" s="3" t="n"/>
    </row>
    <row r="721">
      <c r="A721" s="3" t="n"/>
      <c r="B721" s="3" t="n"/>
      <c r="C721" s="3" t="n"/>
      <c r="D721" s="3" t="n"/>
    </row>
    <row r="722">
      <c r="A722" s="3" t="n"/>
      <c r="B722" s="3" t="n"/>
      <c r="C722" s="3" t="n"/>
      <c r="D722" s="3" t="n"/>
    </row>
    <row r="723">
      <c r="A723" s="3" t="n"/>
      <c r="B723" s="3" t="n"/>
      <c r="C723" s="3" t="n"/>
      <c r="D723" s="3" t="n"/>
    </row>
    <row r="724">
      <c r="A724" s="3" t="n"/>
      <c r="B724" s="3" t="n"/>
      <c r="C724" s="3" t="n"/>
      <c r="D724" s="3" t="n"/>
    </row>
    <row r="725">
      <c r="A725" s="3" t="n"/>
      <c r="B725" s="3" t="n"/>
      <c r="C725" s="3" t="n"/>
      <c r="D725" s="3" t="n"/>
    </row>
    <row r="726">
      <c r="A726" s="3" t="n"/>
      <c r="B726" s="3" t="n"/>
      <c r="C726" s="3" t="n"/>
      <c r="D726" s="3" t="n"/>
    </row>
    <row r="727">
      <c r="A727" s="3" t="n"/>
      <c r="B727" s="3" t="n"/>
      <c r="C727" s="3" t="n"/>
      <c r="D727" s="3" t="n"/>
    </row>
    <row r="728">
      <c r="A728" s="3" t="n"/>
      <c r="B728" s="3" t="n"/>
      <c r="C728" s="3" t="n"/>
      <c r="D728" s="3" t="n"/>
    </row>
    <row r="729">
      <c r="A729" s="3" t="n"/>
      <c r="B729" s="3" t="n"/>
      <c r="C729" s="3" t="n"/>
      <c r="D729" s="3" t="n"/>
    </row>
    <row r="730">
      <c r="A730" s="3" t="n"/>
      <c r="B730" s="3" t="n"/>
      <c r="C730" s="3" t="n"/>
      <c r="D730" s="3" t="n"/>
    </row>
    <row r="731">
      <c r="A731" s="3" t="n"/>
      <c r="B731" s="3" t="n"/>
      <c r="C731" s="3" t="n"/>
      <c r="D731" s="3" t="n"/>
    </row>
    <row r="732">
      <c r="A732" s="3" t="n"/>
      <c r="B732" s="3" t="n"/>
      <c r="C732" s="3" t="n"/>
      <c r="D732" s="3" t="n"/>
    </row>
    <row r="733">
      <c r="A733" s="3" t="n"/>
      <c r="B733" s="3" t="n"/>
      <c r="C733" s="3" t="n"/>
      <c r="D733" s="3" t="n"/>
    </row>
    <row r="734">
      <c r="A734" s="3" t="n"/>
      <c r="B734" s="3" t="n"/>
      <c r="C734" s="3" t="n"/>
      <c r="D734" s="3" t="n"/>
    </row>
    <row r="735">
      <c r="A735" s="3" t="n"/>
      <c r="B735" s="3" t="n"/>
      <c r="C735" s="3" t="n"/>
      <c r="D735" s="3" t="n"/>
    </row>
    <row r="736">
      <c r="A736" s="3" t="n"/>
      <c r="B736" s="3" t="n"/>
      <c r="C736" s="3" t="n"/>
      <c r="D736" s="3" t="n"/>
    </row>
    <row r="737">
      <c r="A737" s="3" t="n"/>
      <c r="B737" s="3" t="n"/>
      <c r="C737" s="3" t="n"/>
      <c r="D737" s="3" t="n"/>
    </row>
    <row r="738">
      <c r="A738" s="3" t="n"/>
      <c r="B738" s="3" t="n"/>
      <c r="C738" s="3" t="n"/>
      <c r="D738" s="3" t="n"/>
    </row>
    <row r="739">
      <c r="A739" s="3" t="n"/>
      <c r="B739" s="3" t="n"/>
      <c r="C739" s="3" t="n"/>
      <c r="D739" s="3" t="n"/>
    </row>
    <row r="740">
      <c r="A740" s="3" t="n"/>
      <c r="B740" s="3" t="n"/>
      <c r="C740" s="3" t="n"/>
      <c r="D740" s="3" t="n"/>
    </row>
    <row r="741">
      <c r="A741" s="3" t="n"/>
      <c r="B741" s="3" t="n"/>
      <c r="C741" s="3" t="n"/>
      <c r="D741" s="3" t="n"/>
    </row>
    <row r="742">
      <c r="A742" s="3" t="n"/>
      <c r="B742" s="3" t="n"/>
      <c r="C742" s="3" t="n"/>
      <c r="D742" s="3" t="n"/>
    </row>
    <row r="743">
      <c r="A743" s="3" t="n"/>
      <c r="B743" s="3" t="n"/>
      <c r="C743" s="3" t="n"/>
      <c r="D743" s="3" t="n"/>
    </row>
    <row r="744">
      <c r="A744" s="3" t="n"/>
      <c r="B744" s="3" t="n"/>
      <c r="C744" s="3" t="n"/>
      <c r="D744" s="3" t="n"/>
    </row>
    <row r="745">
      <c r="A745" s="3" t="n"/>
      <c r="B745" s="3" t="n"/>
      <c r="C745" s="3" t="n"/>
      <c r="D745" s="3" t="n"/>
    </row>
    <row r="746">
      <c r="A746" s="3" t="n"/>
      <c r="B746" s="3" t="n"/>
      <c r="C746" s="3" t="n"/>
      <c r="D746" s="3" t="n"/>
    </row>
    <row r="747">
      <c r="A747" s="3" t="n"/>
      <c r="B747" s="3" t="n"/>
      <c r="C747" s="3" t="n"/>
      <c r="D747" s="3" t="n"/>
    </row>
    <row r="748">
      <c r="A748" s="3" t="n"/>
      <c r="B748" s="3" t="n"/>
      <c r="C748" s="3" t="n"/>
      <c r="D748" s="3" t="n"/>
    </row>
    <row r="749">
      <c r="A749" s="3" t="n"/>
      <c r="B749" s="3" t="n"/>
      <c r="C749" s="3" t="n"/>
      <c r="D749" s="3" t="n"/>
    </row>
    <row r="750">
      <c r="A750" s="3" t="n"/>
      <c r="B750" s="3" t="n"/>
      <c r="C750" s="3" t="n"/>
      <c r="D750" s="3" t="n"/>
    </row>
    <row r="751">
      <c r="A751" s="3" t="n"/>
      <c r="B751" s="3" t="n"/>
      <c r="C751" s="3" t="n"/>
      <c r="D751" s="3" t="n"/>
    </row>
    <row r="752">
      <c r="A752" s="3" t="n"/>
      <c r="B752" s="3" t="n"/>
      <c r="C752" s="3" t="n"/>
      <c r="D752" s="3" t="n"/>
    </row>
    <row r="753">
      <c r="A753" s="3" t="n"/>
      <c r="B753" s="3" t="n"/>
      <c r="C753" s="3" t="n"/>
      <c r="D753" s="3" t="n"/>
    </row>
    <row r="754">
      <c r="A754" s="3" t="n"/>
      <c r="B754" s="3" t="n"/>
      <c r="C754" s="3" t="n"/>
      <c r="D754" s="3" t="n"/>
    </row>
    <row r="755">
      <c r="A755" s="3" t="n"/>
      <c r="B755" s="3" t="n"/>
      <c r="C755" s="3" t="n"/>
      <c r="D755" s="3" t="n"/>
    </row>
    <row r="756">
      <c r="A756" s="3" t="n"/>
      <c r="B756" s="3" t="n"/>
      <c r="C756" s="3" t="n"/>
      <c r="D756" s="3" t="n"/>
    </row>
    <row r="757">
      <c r="A757" s="3" t="n"/>
      <c r="B757" s="3" t="n"/>
      <c r="C757" s="3" t="n"/>
      <c r="D757" s="3" t="n"/>
    </row>
    <row r="758">
      <c r="A758" s="3" t="n"/>
      <c r="B758" s="3" t="n"/>
      <c r="C758" s="3" t="n"/>
      <c r="D758" s="3" t="n"/>
    </row>
    <row r="759">
      <c r="A759" s="3" t="n"/>
      <c r="B759" s="3" t="n"/>
      <c r="C759" s="3" t="n"/>
      <c r="D759" s="3" t="n"/>
    </row>
    <row r="760">
      <c r="A760" s="3" t="n"/>
      <c r="B760" s="3" t="n"/>
      <c r="C760" s="3" t="n"/>
      <c r="D760" s="3" t="n"/>
    </row>
    <row r="761">
      <c r="A761" s="3" t="n"/>
      <c r="B761" s="3" t="n"/>
      <c r="C761" s="3" t="n"/>
      <c r="D761" s="3" t="n"/>
    </row>
    <row r="762">
      <c r="A762" s="3" t="n"/>
      <c r="B762" s="3" t="n"/>
      <c r="C762" s="3" t="n"/>
      <c r="D762" s="3" t="n"/>
    </row>
    <row r="763">
      <c r="A763" s="3" t="n"/>
      <c r="B763" s="3" t="n"/>
      <c r="C763" s="3" t="n"/>
      <c r="D763" s="3" t="n"/>
    </row>
    <row r="764">
      <c r="A764" s="3" t="n"/>
      <c r="B764" s="3" t="n"/>
      <c r="C764" s="3" t="n"/>
      <c r="D764" s="3" t="n"/>
    </row>
    <row r="765">
      <c r="A765" s="3" t="n"/>
      <c r="B765" s="3" t="n"/>
      <c r="C765" s="3" t="n"/>
      <c r="D765" s="3" t="n"/>
    </row>
    <row r="766">
      <c r="A766" s="3" t="n"/>
      <c r="B766" s="3" t="n"/>
      <c r="C766" s="3" t="n"/>
      <c r="D766" s="3" t="n"/>
    </row>
    <row r="767">
      <c r="A767" s="3" t="n"/>
      <c r="B767" s="3" t="n"/>
      <c r="C767" s="3" t="n"/>
      <c r="D767" s="3" t="n"/>
    </row>
    <row r="768">
      <c r="A768" s="3" t="n"/>
      <c r="B768" s="3" t="n"/>
      <c r="C768" s="3" t="n"/>
      <c r="D768" s="3" t="n"/>
    </row>
    <row r="769">
      <c r="A769" s="3" t="n"/>
      <c r="B769" s="3" t="n"/>
      <c r="C769" s="3" t="n"/>
      <c r="D769" s="3" t="n"/>
    </row>
    <row r="770">
      <c r="A770" s="3" t="n"/>
      <c r="B770" s="3" t="n"/>
      <c r="C770" s="3" t="n"/>
      <c r="D770" s="3" t="n"/>
    </row>
    <row r="771">
      <c r="A771" s="3" t="n"/>
      <c r="B771" s="3" t="n"/>
      <c r="C771" s="3" t="n"/>
      <c r="D771" s="3" t="n"/>
    </row>
    <row r="772">
      <c r="A772" s="3" t="n"/>
      <c r="B772" s="3" t="n"/>
      <c r="C772" s="3" t="n"/>
      <c r="D772" s="3" t="n"/>
    </row>
    <row r="773">
      <c r="A773" s="3" t="n"/>
      <c r="B773" s="3" t="n"/>
      <c r="C773" s="3" t="n"/>
      <c r="D773" s="3" t="n"/>
    </row>
    <row r="774">
      <c r="A774" s="3" t="n"/>
      <c r="B774" s="3" t="n"/>
      <c r="C774" s="3" t="n"/>
      <c r="D774" s="3" t="n"/>
    </row>
    <row r="775">
      <c r="A775" s="3" t="n"/>
      <c r="B775" s="3" t="n"/>
      <c r="C775" s="3" t="n"/>
      <c r="D775" s="3" t="n"/>
    </row>
    <row r="776">
      <c r="A776" s="3" t="n"/>
      <c r="B776" s="3" t="n"/>
      <c r="C776" s="3" t="n"/>
      <c r="D776" s="3" t="n"/>
    </row>
    <row r="777">
      <c r="A777" s="3" t="n"/>
      <c r="B777" s="3" t="n"/>
      <c r="C777" s="3" t="n"/>
      <c r="D777" s="3" t="n"/>
    </row>
    <row r="778">
      <c r="A778" s="3" t="n"/>
      <c r="B778" s="3" t="n"/>
      <c r="C778" s="3" t="n"/>
      <c r="D778" s="3" t="n"/>
    </row>
    <row r="779">
      <c r="A779" s="3" t="n"/>
      <c r="B779" s="3" t="n"/>
      <c r="C779" s="3" t="n"/>
      <c r="D779" s="3" t="n"/>
    </row>
    <row r="780">
      <c r="A780" s="3" t="n"/>
      <c r="B780" s="3" t="n"/>
      <c r="C780" s="3" t="n"/>
      <c r="D780" s="3" t="n"/>
    </row>
    <row r="781">
      <c r="A781" s="3" t="n"/>
      <c r="B781" s="3" t="n"/>
      <c r="C781" s="3" t="n"/>
      <c r="D781" s="3" t="n"/>
    </row>
    <row r="782">
      <c r="A782" s="3" t="n"/>
      <c r="B782" s="3" t="n"/>
      <c r="C782" s="3" t="n"/>
      <c r="D782" s="3" t="n"/>
    </row>
    <row r="783">
      <c r="A783" s="3" t="n"/>
      <c r="B783" s="3" t="n"/>
      <c r="C783" s="3" t="n"/>
      <c r="D783" s="3" t="n"/>
    </row>
    <row r="784">
      <c r="A784" s="3" t="n"/>
      <c r="B784" s="3" t="n"/>
      <c r="C784" s="3" t="n"/>
      <c r="D784" s="3" t="n"/>
    </row>
    <row r="785">
      <c r="A785" s="3" t="n"/>
      <c r="B785" s="3" t="n"/>
      <c r="C785" s="3" t="n"/>
      <c r="D785" s="3" t="n"/>
    </row>
    <row r="786">
      <c r="A786" s="3" t="n"/>
      <c r="B786" s="3" t="n"/>
      <c r="C786" s="3" t="n"/>
      <c r="D786" s="3" t="n"/>
    </row>
    <row r="787">
      <c r="A787" s="3" t="n"/>
      <c r="B787" s="3" t="n"/>
      <c r="C787" s="3" t="n"/>
      <c r="D787" s="3" t="n"/>
    </row>
    <row r="788">
      <c r="A788" s="3" t="n"/>
      <c r="B788" s="3" t="n"/>
      <c r="C788" s="3" t="n"/>
      <c r="D788" s="3" t="n"/>
    </row>
    <row r="789">
      <c r="A789" s="3" t="n"/>
      <c r="B789" s="3" t="n"/>
      <c r="C789" s="3" t="n"/>
      <c r="D789" s="3" t="n"/>
    </row>
    <row r="790">
      <c r="A790" s="3" t="n"/>
      <c r="B790" s="3" t="n"/>
      <c r="C790" s="3" t="n"/>
      <c r="D790" s="3" t="n"/>
    </row>
    <row r="791">
      <c r="A791" s="3" t="n"/>
      <c r="B791" s="3" t="n"/>
      <c r="C791" s="3" t="n"/>
      <c r="D791" s="3" t="n"/>
    </row>
    <row r="792">
      <c r="A792" s="3" t="n"/>
      <c r="B792" s="3" t="n"/>
      <c r="C792" s="3" t="n"/>
      <c r="D792" s="3" t="n"/>
    </row>
    <row r="793">
      <c r="A793" s="3" t="n"/>
      <c r="B793" s="3" t="n"/>
      <c r="C793" s="3" t="n"/>
      <c r="D793" s="3" t="n"/>
    </row>
    <row r="794">
      <c r="A794" s="3" t="n"/>
      <c r="B794" s="3" t="n"/>
      <c r="C794" s="3" t="n"/>
      <c r="D794" s="3" t="n"/>
    </row>
    <row r="795">
      <c r="A795" s="3" t="n"/>
      <c r="B795" s="3" t="n"/>
      <c r="C795" s="3" t="n"/>
      <c r="D795" s="3" t="n"/>
    </row>
    <row r="796">
      <c r="A796" s="3" t="n"/>
      <c r="B796" s="3" t="n"/>
      <c r="C796" s="3" t="n"/>
      <c r="D796" s="3" t="n"/>
    </row>
    <row r="797">
      <c r="A797" s="3" t="n"/>
      <c r="B797" s="3" t="n"/>
      <c r="C797" s="3" t="n"/>
      <c r="D797" s="3" t="n"/>
    </row>
    <row r="798">
      <c r="A798" s="3" t="n"/>
      <c r="B798" s="3" t="n"/>
      <c r="C798" s="3" t="n"/>
      <c r="D798" s="3" t="n"/>
    </row>
    <row r="799">
      <c r="A799" s="3" t="n"/>
      <c r="B799" s="3" t="n"/>
      <c r="C799" s="3" t="n"/>
      <c r="D799" s="3" t="n"/>
    </row>
    <row r="800">
      <c r="A800" s="3" t="n"/>
      <c r="B800" s="3" t="n"/>
      <c r="C800" s="3" t="n"/>
      <c r="D800" s="3" t="n"/>
    </row>
    <row r="801">
      <c r="A801" s="3" t="n"/>
      <c r="B801" s="3" t="n"/>
      <c r="C801" s="3" t="n"/>
      <c r="D801" s="3" t="n"/>
    </row>
    <row r="802">
      <c r="A802" s="3" t="n"/>
      <c r="B802" s="3" t="n"/>
      <c r="C802" s="3" t="n"/>
      <c r="D802" s="3" t="n"/>
    </row>
    <row r="803">
      <c r="A803" s="3" t="n"/>
      <c r="B803" s="3" t="n"/>
      <c r="C803" s="3" t="n"/>
      <c r="D803" s="3" t="n"/>
    </row>
    <row r="804">
      <c r="A804" s="3" t="n"/>
      <c r="B804" s="3" t="n"/>
      <c r="C804" s="3" t="n"/>
      <c r="D804" s="3" t="n"/>
    </row>
    <row r="805">
      <c r="A805" s="3" t="n"/>
      <c r="B805" s="3" t="n"/>
      <c r="C805" s="3" t="n"/>
      <c r="D805" s="3" t="n"/>
    </row>
    <row r="806">
      <c r="A806" s="3" t="n"/>
      <c r="B806" s="3" t="n"/>
      <c r="C806" s="3" t="n"/>
      <c r="D806" s="3" t="n"/>
    </row>
    <row r="807">
      <c r="A807" s="3" t="n"/>
      <c r="B807" s="3" t="n"/>
      <c r="C807" s="3" t="n"/>
      <c r="D807" s="3" t="n"/>
    </row>
    <row r="808">
      <c r="A808" s="3" t="n"/>
      <c r="B808" s="3" t="n"/>
      <c r="C808" s="3" t="n"/>
      <c r="D808" s="3" t="n"/>
    </row>
    <row r="809">
      <c r="A809" s="3" t="n"/>
      <c r="B809" s="3" t="n"/>
      <c r="C809" s="3" t="n"/>
      <c r="D809" s="3" t="n"/>
    </row>
    <row r="810">
      <c r="A810" s="3" t="n"/>
      <c r="B810" s="3" t="n"/>
      <c r="C810" s="3" t="n"/>
      <c r="D810" s="3" t="n"/>
    </row>
    <row r="811">
      <c r="A811" s="3" t="n"/>
      <c r="B811" s="3" t="n"/>
      <c r="C811" s="3" t="n"/>
      <c r="D811" s="3" t="n"/>
    </row>
    <row r="812">
      <c r="A812" s="3" t="n"/>
      <c r="B812" s="3" t="n"/>
      <c r="C812" s="3" t="n"/>
      <c r="D812" s="3" t="n"/>
    </row>
    <row r="813">
      <c r="A813" s="3" t="n"/>
      <c r="B813" s="3" t="n"/>
      <c r="C813" s="3" t="n"/>
      <c r="D813" s="3" t="n"/>
    </row>
    <row r="814">
      <c r="A814" s="3" t="n"/>
      <c r="B814" s="3" t="n"/>
      <c r="C814" s="3" t="n"/>
      <c r="D814" s="3" t="n"/>
    </row>
    <row r="815">
      <c r="A815" s="3" t="n"/>
      <c r="B815" s="3" t="n"/>
      <c r="C815" s="3" t="n"/>
      <c r="D815" s="3" t="n"/>
    </row>
    <row r="816">
      <c r="A816" s="3" t="n"/>
      <c r="B816" s="3" t="n"/>
      <c r="C816" s="3" t="n"/>
      <c r="D816" s="3" t="n"/>
    </row>
    <row r="817">
      <c r="A817" s="3" t="n"/>
      <c r="B817" s="3" t="n"/>
      <c r="C817" s="3" t="n"/>
      <c r="D817" s="3" t="n"/>
    </row>
    <row r="818">
      <c r="A818" s="3" t="n"/>
      <c r="B818" s="3" t="n"/>
      <c r="C818" s="3" t="n"/>
      <c r="D818" s="3" t="n"/>
    </row>
    <row r="819">
      <c r="A819" s="3" t="n"/>
      <c r="B819" s="3" t="n"/>
      <c r="C819" s="3" t="n"/>
      <c r="D819" s="3" t="n"/>
    </row>
    <row r="820">
      <c r="A820" s="3" t="n"/>
      <c r="B820" s="3" t="n"/>
      <c r="C820" s="3" t="n"/>
      <c r="D820" s="3" t="n"/>
    </row>
    <row r="821">
      <c r="A821" s="3" t="n"/>
      <c r="B821" s="3" t="n"/>
      <c r="C821" s="3" t="n"/>
      <c r="D821" s="3" t="n"/>
    </row>
    <row r="822">
      <c r="A822" s="3" t="n"/>
      <c r="B822" s="3" t="n"/>
      <c r="C822" s="3" t="n"/>
      <c r="D822" s="3" t="n"/>
    </row>
    <row r="823">
      <c r="A823" s="3" t="n"/>
      <c r="B823" s="3" t="n"/>
      <c r="C823" s="3" t="n"/>
      <c r="D823" s="3" t="n"/>
    </row>
    <row r="824">
      <c r="A824" s="3" t="n"/>
      <c r="B824" s="3" t="n"/>
      <c r="C824" s="3" t="n"/>
      <c r="D824" s="3" t="n"/>
    </row>
    <row r="825">
      <c r="A825" s="3" t="n"/>
      <c r="B825" s="3" t="n"/>
      <c r="C825" s="3" t="n"/>
      <c r="D825" s="3" t="n"/>
    </row>
    <row r="826">
      <c r="A826" s="3" t="n"/>
      <c r="B826" s="3" t="n"/>
      <c r="C826" s="3" t="n"/>
      <c r="D826" s="3" t="n"/>
    </row>
    <row r="827">
      <c r="A827" s="3" t="n"/>
      <c r="B827" s="3" t="n"/>
      <c r="C827" s="3" t="n"/>
      <c r="D827" s="3" t="n"/>
    </row>
    <row r="828">
      <c r="A828" s="3" t="n"/>
      <c r="B828" s="3" t="n"/>
      <c r="C828" s="3" t="n"/>
      <c r="D828" s="3" t="n"/>
    </row>
    <row r="829">
      <c r="A829" s="3" t="n"/>
      <c r="B829" s="3" t="n"/>
      <c r="C829" s="3" t="n"/>
      <c r="D829" s="3" t="n"/>
    </row>
    <row r="830">
      <c r="A830" s="3" t="n"/>
      <c r="B830" s="3" t="n"/>
      <c r="C830" s="3" t="n"/>
      <c r="D830" s="3" t="n"/>
    </row>
    <row r="831">
      <c r="A831" s="3" t="n"/>
      <c r="B831" s="3" t="n"/>
      <c r="C831" s="3" t="n"/>
      <c r="D831" s="3" t="n"/>
    </row>
    <row r="832">
      <c r="A832" s="3" t="n"/>
      <c r="B832" s="3" t="n"/>
      <c r="C832" s="3" t="n"/>
      <c r="D832" s="3" t="n"/>
    </row>
    <row r="833">
      <c r="A833" s="3" t="n"/>
      <c r="B833" s="3" t="n"/>
      <c r="C833" s="3" t="n"/>
      <c r="D833" s="3" t="n"/>
    </row>
    <row r="834">
      <c r="A834" s="3" t="n"/>
      <c r="B834" s="3" t="n"/>
      <c r="C834" s="3" t="n"/>
      <c r="D834" s="3" t="n"/>
    </row>
    <row r="835">
      <c r="A835" s="3" t="n"/>
      <c r="B835" s="3" t="n"/>
      <c r="C835" s="3" t="n"/>
      <c r="D835" s="3" t="n"/>
    </row>
    <row r="836">
      <c r="A836" s="3" t="n"/>
      <c r="B836" s="3" t="n"/>
      <c r="C836" s="3" t="n"/>
      <c r="D836" s="3" t="n"/>
    </row>
    <row r="837">
      <c r="A837" s="3" t="n"/>
      <c r="B837" s="3" t="n"/>
      <c r="C837" s="3" t="n"/>
      <c r="D837" s="3" t="n"/>
    </row>
    <row r="838">
      <c r="A838" s="3" t="n"/>
      <c r="B838" s="3" t="n"/>
      <c r="C838" s="3" t="n"/>
      <c r="D838" s="3" t="n"/>
    </row>
    <row r="839">
      <c r="A839" s="3" t="n"/>
      <c r="B839" s="3" t="n"/>
      <c r="C839" s="3" t="n"/>
      <c r="D839" s="3" t="n"/>
    </row>
    <row r="840">
      <c r="A840" s="3" t="n"/>
      <c r="B840" s="3" t="n"/>
      <c r="C840" s="3" t="n"/>
      <c r="D840" s="3" t="n"/>
    </row>
    <row r="841">
      <c r="A841" s="3" t="n"/>
      <c r="B841" s="3" t="n"/>
      <c r="C841" s="3" t="n"/>
      <c r="D841" s="3" t="n"/>
    </row>
    <row r="842">
      <c r="A842" s="3" t="n"/>
      <c r="B842" s="3" t="n"/>
      <c r="C842" s="3" t="n"/>
      <c r="D842" s="3" t="n"/>
    </row>
    <row r="843">
      <c r="A843" s="3" t="n"/>
      <c r="B843" s="3" t="n"/>
      <c r="C843" s="3" t="n"/>
      <c r="D843" s="3" t="n"/>
    </row>
    <row r="844">
      <c r="A844" s="3" t="n"/>
      <c r="B844" s="3" t="n"/>
      <c r="C844" s="3" t="n"/>
      <c r="D844" s="3" t="n"/>
    </row>
    <row r="845">
      <c r="A845" s="3" t="n"/>
      <c r="B845" s="3" t="n"/>
      <c r="C845" s="3" t="n"/>
      <c r="D845" s="3" t="n"/>
    </row>
    <row r="846">
      <c r="A846" s="3" t="n"/>
      <c r="B846" s="3" t="n"/>
      <c r="C846" s="3" t="n"/>
      <c r="D846" s="3" t="n"/>
    </row>
    <row r="847">
      <c r="A847" s="3" t="n"/>
      <c r="B847" s="3" t="n"/>
      <c r="C847" s="3" t="n"/>
      <c r="D847" s="3" t="n"/>
    </row>
    <row r="848">
      <c r="A848" s="3" t="n"/>
      <c r="B848" s="3" t="n"/>
      <c r="C848" s="3" t="n"/>
      <c r="D848" s="3" t="n"/>
    </row>
    <row r="849">
      <c r="A849" s="3" t="n"/>
      <c r="B849" s="3" t="n"/>
      <c r="C849" s="3" t="n"/>
      <c r="D849" s="3" t="n"/>
    </row>
    <row r="850">
      <c r="A850" s="3" t="n"/>
      <c r="B850" s="3" t="n"/>
      <c r="C850" s="3" t="n"/>
      <c r="D850" s="3" t="n"/>
    </row>
    <row r="851">
      <c r="A851" s="3" t="n"/>
      <c r="B851" s="3" t="n"/>
      <c r="C851" s="3" t="n"/>
      <c r="D851" s="3" t="n"/>
    </row>
    <row r="852">
      <c r="A852" s="3" t="n"/>
      <c r="B852" s="3" t="n"/>
      <c r="C852" s="3" t="n"/>
      <c r="D852" s="3" t="n"/>
    </row>
    <row r="853">
      <c r="A853" s="3" t="n"/>
      <c r="B853" s="3" t="n"/>
      <c r="C853" s="3" t="n"/>
      <c r="D853" s="3" t="n"/>
    </row>
    <row r="854">
      <c r="A854" s="3" t="n"/>
      <c r="B854" s="3" t="n"/>
      <c r="C854" s="3" t="n"/>
      <c r="D854" s="3" t="n"/>
    </row>
    <row r="855">
      <c r="A855" s="3" t="n"/>
      <c r="B855" s="3" t="n"/>
      <c r="C855" s="3" t="n"/>
      <c r="D855" s="3" t="n"/>
    </row>
    <row r="856">
      <c r="A856" s="3" t="n"/>
      <c r="B856" s="3" t="n"/>
      <c r="C856" s="3" t="n"/>
      <c r="D856" s="3" t="n"/>
    </row>
    <row r="857">
      <c r="A857" s="3" t="n"/>
      <c r="B857" s="3" t="n"/>
      <c r="C857" s="3" t="n"/>
      <c r="D857" s="3" t="n"/>
    </row>
    <row r="858">
      <c r="A858" s="3" t="n"/>
      <c r="B858" s="3" t="n"/>
      <c r="C858" s="3" t="n"/>
      <c r="D858" s="3" t="n"/>
    </row>
    <row r="859">
      <c r="A859" s="3" t="n"/>
      <c r="B859" s="3" t="n"/>
      <c r="C859" s="3" t="n"/>
      <c r="D859" s="3" t="n"/>
    </row>
    <row r="860">
      <c r="A860" s="3" t="n"/>
      <c r="B860" s="3" t="n"/>
      <c r="C860" s="3" t="n"/>
      <c r="D860" s="3" t="n"/>
    </row>
    <row r="861">
      <c r="A861" s="3" t="n"/>
      <c r="B861" s="3" t="n"/>
      <c r="C861" s="3" t="n"/>
      <c r="D861" s="3" t="n"/>
    </row>
    <row r="862">
      <c r="A862" s="3" t="n"/>
      <c r="B862" s="3" t="n"/>
      <c r="C862" s="3" t="n"/>
      <c r="D862" s="3" t="n"/>
    </row>
    <row r="863">
      <c r="A863" s="3" t="n"/>
      <c r="B863" s="3" t="n"/>
      <c r="C863" s="3" t="n"/>
      <c r="D863" s="3" t="n"/>
    </row>
    <row r="864">
      <c r="A864" s="3" t="n"/>
      <c r="B864" s="3" t="n"/>
      <c r="C864" s="3" t="n"/>
      <c r="D864" s="3" t="n"/>
    </row>
    <row r="865">
      <c r="A865" s="3" t="n"/>
      <c r="B865" s="3" t="n"/>
      <c r="C865" s="3" t="n"/>
      <c r="D865" s="3" t="n"/>
    </row>
    <row r="866">
      <c r="A866" s="3" t="n"/>
      <c r="B866" s="3" t="n"/>
      <c r="C866" s="3" t="n"/>
      <c r="D866" s="3" t="n"/>
    </row>
    <row r="867">
      <c r="A867" s="3" t="n"/>
      <c r="B867" s="3" t="n"/>
      <c r="C867" s="3" t="n"/>
      <c r="D867" s="3" t="n"/>
    </row>
    <row r="868">
      <c r="A868" s="3" t="n"/>
      <c r="B868" s="3" t="n"/>
      <c r="C868" s="3" t="n"/>
      <c r="D868" s="3" t="n"/>
    </row>
    <row r="869">
      <c r="A869" s="3" t="n"/>
      <c r="B869" s="3" t="n"/>
      <c r="C869" s="3" t="n"/>
      <c r="D869" s="3" t="n"/>
    </row>
    <row r="870">
      <c r="A870" s="3" t="n"/>
      <c r="B870" s="3" t="n"/>
      <c r="C870" s="3" t="n"/>
      <c r="D870" s="3" t="n"/>
    </row>
    <row r="871">
      <c r="A871" s="3" t="n"/>
      <c r="B871" s="3" t="n"/>
      <c r="C871" s="3" t="n"/>
      <c r="D871" s="3" t="n"/>
    </row>
    <row r="872">
      <c r="A872" s="3" t="n"/>
      <c r="B872" s="3" t="n"/>
      <c r="C872" s="3" t="n"/>
      <c r="D872" s="3" t="n"/>
    </row>
    <row r="873">
      <c r="A873" s="3" t="n"/>
      <c r="B873" s="3" t="n"/>
      <c r="C873" s="3" t="n"/>
      <c r="D873" s="3" t="n"/>
    </row>
    <row r="874">
      <c r="A874" s="3" t="n"/>
      <c r="B874" s="3" t="n"/>
      <c r="C874" s="3" t="n"/>
      <c r="D874" s="3" t="n"/>
    </row>
    <row r="875">
      <c r="A875" s="3" t="n"/>
      <c r="B875" s="3" t="n"/>
      <c r="C875" s="3" t="n"/>
      <c r="D875" s="3" t="n"/>
    </row>
    <row r="876">
      <c r="A876" s="3" t="n"/>
      <c r="B876" s="3" t="n"/>
      <c r="C876" s="3" t="n"/>
      <c r="D876" s="3" t="n"/>
    </row>
    <row r="877">
      <c r="A877" s="3" t="n"/>
      <c r="B877" s="3" t="n"/>
      <c r="C877" s="3" t="n"/>
      <c r="D877" s="3" t="n"/>
    </row>
    <row r="878">
      <c r="A878" s="3" t="n"/>
      <c r="B878" s="3" t="n"/>
      <c r="C878" s="3" t="n"/>
      <c r="D878" s="3" t="n"/>
    </row>
    <row r="879">
      <c r="A879" s="3" t="n"/>
      <c r="B879" s="3" t="n"/>
      <c r="C879" s="3" t="n"/>
      <c r="D879" s="3" t="n"/>
    </row>
    <row r="880">
      <c r="A880" s="3" t="n"/>
      <c r="B880" s="3" t="n"/>
      <c r="C880" s="3" t="n"/>
      <c r="D880" s="3" t="n"/>
    </row>
    <row r="881">
      <c r="A881" s="3" t="n"/>
      <c r="B881" s="3" t="n"/>
      <c r="C881" s="3" t="n"/>
      <c r="D881" s="3" t="n"/>
    </row>
    <row r="882">
      <c r="A882" s="3" t="n"/>
      <c r="B882" s="3" t="n"/>
      <c r="C882" s="3" t="n"/>
      <c r="D882" s="3" t="n"/>
    </row>
    <row r="883">
      <c r="A883" s="3" t="n"/>
      <c r="B883" s="3" t="n"/>
      <c r="C883" s="3" t="n"/>
      <c r="D883" s="3" t="n"/>
    </row>
    <row r="884">
      <c r="A884" s="3" t="n"/>
      <c r="B884" s="3" t="n"/>
      <c r="C884" s="3" t="n"/>
      <c r="D884" s="3" t="n"/>
    </row>
    <row r="885">
      <c r="A885" s="3" t="n"/>
      <c r="B885" s="3" t="n"/>
      <c r="C885" s="3" t="n"/>
      <c r="D885" s="3" t="n"/>
    </row>
    <row r="886">
      <c r="A886" s="3" t="n"/>
      <c r="B886" s="3" t="n"/>
      <c r="C886" s="3" t="n"/>
      <c r="D886" s="3" t="n"/>
    </row>
    <row r="887">
      <c r="A887" s="3" t="n"/>
      <c r="B887" s="3" t="n"/>
      <c r="C887" s="3" t="n"/>
      <c r="D887" s="3" t="n"/>
    </row>
    <row r="888">
      <c r="A888" s="3" t="n"/>
      <c r="B888" s="3" t="n"/>
      <c r="C888" s="3" t="n"/>
      <c r="D888" s="3" t="n"/>
    </row>
    <row r="889">
      <c r="A889" s="3" t="n"/>
      <c r="B889" s="3" t="n"/>
      <c r="C889" s="3" t="n"/>
      <c r="D889" s="3" t="n"/>
    </row>
    <row r="890">
      <c r="A890" s="3" t="n"/>
      <c r="B890" s="3" t="n"/>
      <c r="C890" s="3" t="n"/>
      <c r="D890" s="3" t="n"/>
    </row>
    <row r="891">
      <c r="A891" s="3" t="n"/>
      <c r="B891" s="3" t="n"/>
      <c r="C891" s="3" t="n"/>
      <c r="D891" s="3" t="n"/>
    </row>
    <row r="892">
      <c r="A892" s="3" t="n"/>
      <c r="B892" s="3" t="n"/>
      <c r="C892" s="3" t="n"/>
      <c r="D892" s="3" t="n"/>
    </row>
    <row r="893">
      <c r="A893" s="3" t="n"/>
      <c r="B893" s="3" t="n"/>
      <c r="C893" s="3" t="n"/>
      <c r="D893" s="3" t="n"/>
    </row>
    <row r="894">
      <c r="A894" s="3" t="n"/>
      <c r="B894" s="3" t="n"/>
      <c r="C894" s="3" t="n"/>
      <c r="D894" s="3" t="n"/>
    </row>
    <row r="895">
      <c r="A895" s="3" t="n"/>
      <c r="B895" s="3" t="n"/>
      <c r="C895" s="3" t="n"/>
      <c r="D895" s="3" t="n"/>
    </row>
    <row r="896">
      <c r="A896" s="3" t="n"/>
      <c r="B896" s="3" t="n"/>
      <c r="C896" s="3" t="n"/>
      <c r="D896" s="3" t="n"/>
    </row>
    <row r="897">
      <c r="A897" s="3" t="n"/>
      <c r="B897" s="3" t="n"/>
      <c r="C897" s="3" t="n"/>
      <c r="D897" s="3" t="n"/>
    </row>
    <row r="898">
      <c r="A898" s="3" t="n"/>
      <c r="B898" s="3" t="n"/>
      <c r="C898" s="3" t="n"/>
      <c r="D898" s="3" t="n"/>
    </row>
    <row r="899">
      <c r="A899" s="3" t="n"/>
      <c r="B899" s="3" t="n"/>
      <c r="C899" s="3" t="n"/>
      <c r="D899" s="3" t="n"/>
    </row>
    <row r="900">
      <c r="A900" s="3" t="n"/>
      <c r="B900" s="3" t="n"/>
      <c r="C900" s="3" t="n"/>
      <c r="D900" s="3" t="n"/>
    </row>
    <row r="901">
      <c r="A901" s="3" t="n"/>
      <c r="B901" s="3" t="n"/>
      <c r="C901" s="3" t="n"/>
      <c r="D901" s="3" t="n"/>
    </row>
    <row r="902">
      <c r="A902" s="3" t="n"/>
      <c r="B902" s="3" t="n"/>
      <c r="C902" s="3" t="n"/>
      <c r="D902" s="3" t="n"/>
    </row>
    <row r="903">
      <c r="A903" s="3" t="n"/>
      <c r="B903" s="3" t="n"/>
      <c r="C903" s="3" t="n"/>
      <c r="D903" s="3" t="n"/>
    </row>
    <row r="904">
      <c r="A904" s="3" t="n"/>
      <c r="B904" s="3" t="n"/>
      <c r="C904" s="3" t="n"/>
      <c r="D904" s="3" t="n"/>
    </row>
    <row r="905">
      <c r="A905" s="3" t="n"/>
      <c r="B905" s="3" t="n"/>
      <c r="C905" s="3" t="n"/>
      <c r="D905" s="3" t="n"/>
    </row>
    <row r="906">
      <c r="A906" s="3" t="n"/>
      <c r="B906" s="3" t="n"/>
      <c r="C906" s="3" t="n"/>
      <c r="D906" s="3" t="n"/>
    </row>
    <row r="907">
      <c r="A907" s="3" t="n"/>
      <c r="B907" s="3" t="n"/>
      <c r="C907" s="3" t="n"/>
      <c r="D907" s="3" t="n"/>
    </row>
    <row r="908">
      <c r="A908" s="3" t="n"/>
      <c r="B908" s="3" t="n"/>
      <c r="C908" s="3" t="n"/>
      <c r="D908" s="3" t="n"/>
    </row>
    <row r="909">
      <c r="A909" s="3" t="n"/>
      <c r="B909" s="3" t="n"/>
      <c r="C909" s="3" t="n"/>
      <c r="D909" s="3" t="n"/>
    </row>
    <row r="910">
      <c r="A910" s="3" t="n"/>
      <c r="B910" s="3" t="n"/>
      <c r="C910" s="3" t="n"/>
      <c r="D910" s="3" t="n"/>
    </row>
    <row r="911">
      <c r="A911" s="3" t="n"/>
      <c r="B911" s="3" t="n"/>
      <c r="C911" s="3" t="n"/>
      <c r="D911" s="3" t="n"/>
    </row>
    <row r="912">
      <c r="A912" s="3" t="n"/>
      <c r="B912" s="3" t="n"/>
      <c r="C912" s="3" t="n"/>
      <c r="D912" s="3" t="n"/>
    </row>
    <row r="913">
      <c r="A913" s="3" t="n"/>
      <c r="B913" s="3" t="n"/>
      <c r="C913" s="3" t="n"/>
      <c r="D913" s="3" t="n"/>
    </row>
    <row r="914">
      <c r="A914" s="3" t="n"/>
      <c r="B914" s="3" t="n"/>
      <c r="C914" s="3" t="n"/>
      <c r="D914" s="3" t="n"/>
    </row>
    <row r="915">
      <c r="A915" s="3" t="n"/>
      <c r="B915" s="3" t="n"/>
      <c r="C915" s="3" t="n"/>
      <c r="D915" s="3" t="n"/>
    </row>
    <row r="916">
      <c r="A916" s="3" t="n"/>
      <c r="B916" s="3" t="n"/>
      <c r="C916" s="3" t="n"/>
      <c r="D916" s="3" t="n"/>
    </row>
    <row r="917">
      <c r="A917" s="3" t="n"/>
      <c r="B917" s="3" t="n"/>
      <c r="C917" s="3" t="n"/>
      <c r="D917" s="3" t="n"/>
    </row>
    <row r="918">
      <c r="A918" s="3" t="n"/>
      <c r="B918" s="3" t="n"/>
      <c r="C918" s="3" t="n"/>
      <c r="D918" s="3" t="n"/>
    </row>
    <row r="919">
      <c r="A919" s="3" t="n"/>
      <c r="B919" s="3" t="n"/>
      <c r="C919" s="3" t="n"/>
      <c r="D919" s="3" t="n"/>
    </row>
    <row r="920">
      <c r="A920" s="3" t="n"/>
      <c r="B920" s="3" t="n"/>
      <c r="C920" s="3" t="n"/>
      <c r="D920" s="3" t="n"/>
    </row>
    <row r="921">
      <c r="A921" s="3" t="n"/>
      <c r="B921" s="3" t="n"/>
      <c r="C921" s="3" t="n"/>
      <c r="D921" s="3" t="n"/>
    </row>
    <row r="922">
      <c r="A922" s="3" t="n"/>
      <c r="B922" s="3" t="n"/>
      <c r="C922" s="3" t="n"/>
      <c r="D922" s="3" t="n"/>
    </row>
    <row r="923">
      <c r="A923" s="3" t="n"/>
      <c r="B923" s="3" t="n"/>
      <c r="C923" s="3" t="n"/>
      <c r="D923" s="3" t="n"/>
    </row>
    <row r="924">
      <c r="A924" s="3" t="n"/>
      <c r="B924" s="3" t="n"/>
      <c r="C924" s="3" t="n"/>
      <c r="D924" s="3" t="n"/>
    </row>
    <row r="925">
      <c r="A925" s="3" t="n"/>
      <c r="B925" s="3" t="n"/>
      <c r="C925" s="3" t="n"/>
      <c r="D925" s="3" t="n"/>
    </row>
    <row r="926">
      <c r="A926" s="3" t="n"/>
      <c r="B926" s="3" t="n"/>
      <c r="C926" s="3" t="n"/>
      <c r="D926" s="3" t="n"/>
    </row>
    <row r="927">
      <c r="A927" s="3" t="n"/>
      <c r="B927" s="3" t="n"/>
      <c r="C927" s="3" t="n"/>
      <c r="D927" s="3" t="n"/>
    </row>
    <row r="928">
      <c r="A928" s="3" t="n"/>
      <c r="B928" s="3" t="n"/>
      <c r="C928" s="3" t="n"/>
      <c r="D928" s="3" t="n"/>
    </row>
    <row r="929">
      <c r="A929" s="3" t="n"/>
      <c r="B929" s="3" t="n"/>
      <c r="C929" s="3" t="n"/>
      <c r="D929" s="3" t="n"/>
    </row>
    <row r="930">
      <c r="A930" s="3" t="n"/>
      <c r="B930" s="3" t="n"/>
      <c r="C930" s="3" t="n"/>
      <c r="D930" s="3" t="n"/>
    </row>
    <row r="931">
      <c r="A931" s="3" t="n"/>
      <c r="B931" s="3" t="n"/>
      <c r="C931" s="3" t="n"/>
      <c r="D931" s="3" t="n"/>
    </row>
    <row r="932">
      <c r="A932" s="3" t="n"/>
      <c r="B932" s="3" t="n"/>
      <c r="C932" s="3" t="n"/>
      <c r="D932" s="3" t="n"/>
    </row>
    <row r="933">
      <c r="A933" s="3" t="n"/>
      <c r="B933" s="3" t="n"/>
      <c r="C933" s="3" t="n"/>
      <c r="D933" s="3" t="n"/>
    </row>
    <row r="934">
      <c r="A934" s="3" t="n"/>
      <c r="B934" s="3" t="n"/>
      <c r="C934" s="3" t="n"/>
      <c r="D934" s="3" t="n"/>
    </row>
    <row r="935">
      <c r="A935" s="3" t="n"/>
      <c r="B935" s="3" t="n"/>
      <c r="C935" s="3" t="n"/>
      <c r="D935" s="3" t="n"/>
    </row>
    <row r="936">
      <c r="A936" s="3" t="n"/>
      <c r="B936" s="3" t="n"/>
      <c r="C936" s="3" t="n"/>
      <c r="D936" s="3" t="n"/>
    </row>
    <row r="937">
      <c r="A937" s="3" t="n"/>
      <c r="B937" s="3" t="n"/>
      <c r="C937" s="3" t="n"/>
      <c r="D937" s="3" t="n"/>
    </row>
    <row r="938">
      <c r="A938" s="3" t="n"/>
      <c r="B938" s="3" t="n"/>
      <c r="C938" s="3" t="n"/>
      <c r="D938" s="3" t="n"/>
    </row>
    <row r="939">
      <c r="A939" s="3" t="n"/>
      <c r="B939" s="3" t="n"/>
      <c r="C939" s="3" t="n"/>
      <c r="D939" s="3" t="n"/>
    </row>
    <row r="940">
      <c r="A940" s="3" t="n"/>
      <c r="B940" s="3" t="n"/>
      <c r="C940" s="3" t="n"/>
      <c r="D940" s="3" t="n"/>
    </row>
    <row r="941">
      <c r="A941" s="3" t="n"/>
      <c r="B941" s="3" t="n"/>
      <c r="C941" s="3" t="n"/>
      <c r="D941" s="3" t="n"/>
    </row>
    <row r="942">
      <c r="A942" s="3" t="n"/>
      <c r="B942" s="3" t="n"/>
      <c r="C942" s="3" t="n"/>
      <c r="D942" s="3" t="n"/>
    </row>
    <row r="943">
      <c r="A943" s="3" t="n"/>
      <c r="B943" s="3" t="n"/>
      <c r="C943" s="3" t="n"/>
      <c r="D943" s="3" t="n"/>
    </row>
    <row r="944">
      <c r="A944" s="3" t="n"/>
      <c r="B944" s="3" t="n"/>
      <c r="C944" s="3" t="n"/>
      <c r="D944" s="3" t="n"/>
    </row>
    <row r="945">
      <c r="A945" s="3" t="n"/>
      <c r="B945" s="3" t="n"/>
      <c r="C945" s="3" t="n"/>
      <c r="D945" s="3" t="n"/>
    </row>
    <row r="946">
      <c r="A946" s="3" t="n"/>
      <c r="B946" s="3" t="n"/>
      <c r="C946" s="3" t="n"/>
      <c r="D946" s="3" t="n"/>
    </row>
    <row r="947">
      <c r="A947" s="3" t="n"/>
      <c r="B947" s="3" t="n"/>
      <c r="C947" s="3" t="n"/>
      <c r="D947" s="3" t="n"/>
    </row>
    <row r="948">
      <c r="A948" s="3" t="n"/>
      <c r="B948" s="3" t="n"/>
      <c r="C948" s="3" t="n"/>
      <c r="D948" s="3" t="n"/>
    </row>
    <row r="949">
      <c r="A949" s="3" t="n"/>
      <c r="B949" s="3" t="n"/>
      <c r="C949" s="3" t="n"/>
      <c r="D949" s="3" t="n"/>
    </row>
    <row r="950">
      <c r="A950" s="3" t="n"/>
      <c r="B950" s="3" t="n"/>
      <c r="C950" s="3" t="n"/>
      <c r="D950" s="3" t="n"/>
    </row>
    <row r="951">
      <c r="A951" s="3" t="n"/>
      <c r="B951" s="3" t="n"/>
      <c r="C951" s="3" t="n"/>
      <c r="D951" s="3" t="n"/>
    </row>
    <row r="952">
      <c r="A952" s="3" t="n"/>
      <c r="B952" s="3" t="n"/>
      <c r="C952" s="3" t="n"/>
      <c r="D952" s="3" t="n"/>
    </row>
    <row r="953">
      <c r="A953" s="3" t="n"/>
      <c r="B953" s="3" t="n"/>
      <c r="C953" s="3" t="n"/>
      <c r="D953" s="3" t="n"/>
    </row>
    <row r="954">
      <c r="A954" s="3" t="n"/>
      <c r="B954" s="3" t="n"/>
      <c r="C954" s="3" t="n"/>
      <c r="D954" s="3" t="n"/>
    </row>
    <row r="955">
      <c r="A955" s="3" t="n"/>
      <c r="B955" s="3" t="n"/>
      <c r="C955" s="3" t="n"/>
      <c r="D955" s="3" t="n"/>
    </row>
    <row r="956">
      <c r="A956" s="3" t="n"/>
      <c r="B956" s="3" t="n"/>
      <c r="C956" s="3" t="n"/>
      <c r="D956" s="3" t="n"/>
    </row>
    <row r="957">
      <c r="A957" s="3" t="n"/>
      <c r="B957" s="3" t="n"/>
      <c r="C957" s="3" t="n"/>
      <c r="D957" s="3" t="n"/>
    </row>
    <row r="958">
      <c r="A958" s="3" t="n"/>
      <c r="B958" s="3" t="n"/>
      <c r="C958" s="3" t="n"/>
      <c r="D958" s="3" t="n"/>
    </row>
    <row r="959">
      <c r="A959" s="3" t="n"/>
      <c r="B959" s="3" t="n"/>
      <c r="C959" s="3" t="n"/>
      <c r="D959" s="3" t="n"/>
    </row>
    <row r="960">
      <c r="A960" s="3" t="n"/>
      <c r="B960" s="3" t="n"/>
      <c r="C960" s="3" t="n"/>
      <c r="D960" s="3" t="n"/>
    </row>
    <row r="961">
      <c r="A961" s="3" t="n"/>
      <c r="B961" s="3" t="n"/>
      <c r="C961" s="3" t="n"/>
      <c r="D961" s="3" t="n"/>
    </row>
    <row r="962">
      <c r="A962" s="3" t="n"/>
      <c r="B962" s="3" t="n"/>
      <c r="C962" s="3" t="n"/>
      <c r="D962" s="3" t="n"/>
    </row>
    <row r="963">
      <c r="A963" s="3" t="n"/>
      <c r="B963" s="3" t="n"/>
      <c r="C963" s="3" t="n"/>
      <c r="D963" s="3" t="n"/>
    </row>
    <row r="964">
      <c r="A964" s="3" t="n"/>
      <c r="B964" s="3" t="n"/>
      <c r="C964" s="3" t="n"/>
      <c r="D964" s="3" t="n"/>
    </row>
    <row r="965">
      <c r="A965" s="3" t="n"/>
      <c r="B965" s="3" t="n"/>
      <c r="C965" s="3" t="n"/>
      <c r="D965" s="3" t="n"/>
    </row>
    <row r="966">
      <c r="A966" s="3" t="n"/>
      <c r="B966" s="3" t="n"/>
      <c r="C966" s="3" t="n"/>
      <c r="D966" s="3" t="n"/>
    </row>
    <row r="967">
      <c r="A967" s="3" t="n"/>
      <c r="B967" s="3" t="n"/>
      <c r="C967" s="3" t="n"/>
      <c r="D967" s="3" t="n"/>
    </row>
    <row r="968">
      <c r="A968" s="3" t="n"/>
      <c r="B968" s="3" t="n"/>
      <c r="C968" s="3" t="n"/>
      <c r="D968" s="3" t="n"/>
    </row>
    <row r="969">
      <c r="A969" s="3" t="n"/>
      <c r="B969" s="3" t="n"/>
      <c r="C969" s="3" t="n"/>
      <c r="D969" s="3" t="n"/>
    </row>
    <row r="970">
      <c r="A970" s="3" t="n"/>
      <c r="B970" s="3" t="n"/>
      <c r="C970" s="3" t="n"/>
      <c r="D970" s="3" t="n"/>
    </row>
    <row r="971">
      <c r="A971" s="3" t="n"/>
      <c r="B971" s="3" t="n"/>
      <c r="C971" s="3" t="n"/>
      <c r="D971" s="3" t="n"/>
    </row>
    <row r="972">
      <c r="A972" s="3" t="n"/>
      <c r="B972" s="3" t="n"/>
      <c r="C972" s="3" t="n"/>
      <c r="D972" s="3" t="n"/>
    </row>
    <row r="973">
      <c r="A973" s="3" t="n"/>
      <c r="B973" s="3" t="n"/>
      <c r="C973" s="3" t="n"/>
      <c r="D973" s="3" t="n"/>
    </row>
    <row r="974">
      <c r="A974" s="3" t="n"/>
      <c r="B974" s="3" t="n"/>
      <c r="C974" s="3" t="n"/>
      <c r="D974" s="3" t="n"/>
    </row>
    <row r="975">
      <c r="A975" s="3" t="n"/>
      <c r="B975" s="3" t="n"/>
      <c r="C975" s="3" t="n"/>
      <c r="D975" s="3" t="n"/>
    </row>
    <row r="976">
      <c r="A976" s="3" t="n"/>
      <c r="B976" s="3" t="n"/>
      <c r="C976" s="3" t="n"/>
      <c r="D976" s="3" t="n"/>
    </row>
    <row r="977">
      <c r="A977" s="3" t="n"/>
      <c r="B977" s="3" t="n"/>
      <c r="C977" s="3" t="n"/>
      <c r="D977" s="3" t="n"/>
    </row>
    <row r="978">
      <c r="A978" s="3" t="n"/>
      <c r="B978" s="3" t="n"/>
      <c r="C978" s="3" t="n"/>
      <c r="D978" s="3" t="n"/>
    </row>
    <row r="979">
      <c r="A979" s="3" t="n"/>
      <c r="B979" s="3" t="n"/>
      <c r="C979" s="3" t="n"/>
      <c r="D979" s="3" t="n"/>
    </row>
    <row r="980">
      <c r="A980" s="3" t="n"/>
      <c r="B980" s="3" t="n"/>
      <c r="C980" s="3" t="n"/>
      <c r="D980" s="3" t="n"/>
    </row>
    <row r="981">
      <c r="A981" s="3" t="n"/>
      <c r="B981" s="3" t="n"/>
      <c r="C981" s="3" t="n"/>
      <c r="D981" s="3" t="n"/>
    </row>
    <row r="982">
      <c r="A982" s="3" t="n"/>
      <c r="B982" s="3" t="n"/>
      <c r="C982" s="3" t="n"/>
      <c r="D982" s="3" t="n"/>
    </row>
    <row r="983">
      <c r="A983" s="3" t="n"/>
      <c r="B983" s="3" t="n"/>
      <c r="C983" s="3" t="n"/>
      <c r="D983" s="3" t="n"/>
    </row>
    <row r="984">
      <c r="A984" s="3" t="n"/>
      <c r="B984" s="3" t="n"/>
      <c r="C984" s="3" t="n"/>
      <c r="D984" s="3" t="n"/>
    </row>
    <row r="985">
      <c r="A985" s="3" t="n"/>
      <c r="B985" s="3" t="n"/>
      <c r="C985" s="3" t="n"/>
      <c r="D985" s="3" t="n"/>
    </row>
    <row r="986">
      <c r="A986" s="3" t="n"/>
      <c r="B986" s="3" t="n"/>
      <c r="C986" s="3" t="n"/>
      <c r="D986" s="3" t="n"/>
    </row>
    <row r="987">
      <c r="A987" s="3" t="n"/>
      <c r="B987" s="3" t="n"/>
      <c r="C987" s="3" t="n"/>
      <c r="D987" s="3" t="n"/>
    </row>
    <row r="988">
      <c r="A988" s="3" t="n"/>
      <c r="B988" s="3" t="n"/>
      <c r="C988" s="3" t="n"/>
      <c r="D988" s="3" t="n"/>
    </row>
    <row r="989">
      <c r="A989" s="3" t="n"/>
      <c r="B989" s="3" t="n"/>
      <c r="C989" s="3" t="n"/>
      <c r="D989" s="3" t="n"/>
    </row>
    <row r="990">
      <c r="A990" s="3" t="n"/>
      <c r="B990" s="3" t="n"/>
      <c r="C990" s="3" t="n"/>
      <c r="D990" s="3" t="n"/>
    </row>
    <row r="991">
      <c r="A991" s="3" t="n"/>
      <c r="B991" s="3" t="n"/>
      <c r="C991" s="3" t="n"/>
      <c r="D991" s="3" t="n"/>
    </row>
    <row r="992">
      <c r="A992" s="3" t="n"/>
      <c r="B992" s="3" t="n"/>
      <c r="C992" s="3" t="n"/>
      <c r="D992" s="3" t="n"/>
    </row>
    <row r="993">
      <c r="A993" s="3" t="n"/>
      <c r="B993" s="3" t="n"/>
      <c r="C993" s="3" t="n"/>
      <c r="D993" s="3" t="n"/>
    </row>
    <row r="994">
      <c r="A994" s="3" t="n"/>
      <c r="B994" s="3" t="n"/>
      <c r="C994" s="3" t="n"/>
      <c r="D994" s="3" t="n"/>
    </row>
    <row r="995">
      <c r="A995" s="3" t="n"/>
      <c r="B995" s="3" t="n"/>
      <c r="C995" s="3" t="n"/>
      <c r="D995" s="3" t="n"/>
    </row>
    <row r="996">
      <c r="A996" s="3" t="n"/>
      <c r="B996" s="3" t="n"/>
      <c r="C996" s="3" t="n"/>
      <c r="D996" s="3" t="n"/>
    </row>
    <row r="997">
      <c r="A997" s="3" t="n"/>
      <c r="B997" s="3" t="n"/>
      <c r="C997" s="3" t="n"/>
      <c r="D997" s="3" t="n"/>
    </row>
    <row r="998">
      <c r="A998" s="3" t="n"/>
      <c r="B998" s="3" t="n"/>
      <c r="C998" s="3" t="n"/>
      <c r="D998" s="3" t="n"/>
    </row>
    <row r="999">
      <c r="A999" s="3" t="n"/>
      <c r="B999" s="3" t="n"/>
      <c r="C999" s="3" t="n"/>
      <c r="D999" s="3" t="n"/>
    </row>
    <row r="1000">
      <c r="A1000" s="3" t="n"/>
      <c r="B1000" s="3" t="n"/>
      <c r="C1000" s="3" t="n"/>
      <c r="D1000" s="3" t="n"/>
    </row>
    <row r="1001">
      <c r="A1001" s="3" t="n"/>
      <c r="B1001" s="3" t="n"/>
      <c r="C1001" s="3" t="n"/>
      <c r="D1001" s="3" t="n"/>
    </row>
    <row r="1002">
      <c r="A1002" s="3" t="n"/>
      <c r="B1002" s="3" t="n"/>
      <c r="C1002" s="3" t="n"/>
      <c r="D1002" s="3" t="n"/>
    </row>
    <row r="1003">
      <c r="A1003" s="3" t="n"/>
      <c r="B1003" s="3" t="n"/>
      <c r="C1003" s="3" t="n"/>
      <c r="D1003" s="3" t="n"/>
    </row>
    <row r="1004">
      <c r="A1004" s="3" t="n"/>
      <c r="B1004" s="3" t="n"/>
      <c r="C1004" s="3" t="n"/>
      <c r="D1004" s="3" t="n"/>
    </row>
    <row r="1005">
      <c r="A1005" s="3" t="n"/>
      <c r="B1005" s="3" t="n"/>
      <c r="C1005" s="3" t="n"/>
      <c r="D1005" s="3" t="n"/>
    </row>
    <row r="1006">
      <c r="A1006" s="3" t="n"/>
      <c r="B1006" s="3" t="n"/>
      <c r="C1006" s="3" t="n"/>
      <c r="D1006" s="3" t="n"/>
    </row>
    <row r="1007">
      <c r="A1007" s="3" t="n"/>
      <c r="B1007" s="3" t="n"/>
      <c r="C1007" s="3" t="n"/>
      <c r="D1007" s="3" t="n"/>
    </row>
    <row r="1008">
      <c r="A1008" s="3" t="n"/>
      <c r="B1008" s="3" t="n"/>
      <c r="C1008" s="3" t="n"/>
      <c r="D1008" s="3" t="n"/>
    </row>
    <row r="1009">
      <c r="A1009" s="3" t="n"/>
      <c r="B1009" s="3" t="n"/>
      <c r="C1009" s="3" t="n"/>
      <c r="D1009" s="3" t="n"/>
    </row>
    <row r="1010">
      <c r="A1010" s="3" t="n"/>
      <c r="B1010" s="3" t="n"/>
      <c r="C1010" s="3" t="n"/>
      <c r="D1010" s="3" t="n"/>
    </row>
    <row r="1011">
      <c r="A1011" s="3" t="n"/>
      <c r="B1011" s="3" t="n"/>
      <c r="C1011" s="3" t="n"/>
      <c r="D1011" s="3" t="n"/>
    </row>
    <row r="1012">
      <c r="A1012" s="3" t="n"/>
      <c r="B1012" s="3" t="n"/>
      <c r="C1012" s="3" t="n"/>
      <c r="D1012" s="3" t="n"/>
    </row>
    <row r="1013">
      <c r="A1013" s="3" t="n"/>
      <c r="B1013" s="3" t="n"/>
      <c r="C1013" s="3" t="n"/>
      <c r="D1013" s="3" t="n"/>
    </row>
    <row r="1014">
      <c r="A1014" s="3" t="n"/>
      <c r="B1014" s="3" t="n"/>
      <c r="C1014" s="3" t="n"/>
      <c r="D1014" s="3" t="n"/>
    </row>
    <row r="1015">
      <c r="A1015" s="3" t="n"/>
      <c r="B1015" s="3" t="n"/>
      <c r="C1015" s="3" t="n"/>
      <c r="D1015" s="3" t="n"/>
    </row>
    <row r="1016">
      <c r="A1016" s="3" t="n"/>
      <c r="B1016" s="3" t="n"/>
      <c r="C1016" s="3" t="n"/>
      <c r="D1016" s="3" t="n"/>
    </row>
    <row r="1017">
      <c r="A1017" s="3" t="n"/>
      <c r="B1017" s="3" t="n"/>
      <c r="C1017" s="3" t="n"/>
      <c r="D1017" s="3" t="n"/>
    </row>
    <row r="1018">
      <c r="A1018" s="3" t="n"/>
      <c r="B1018" s="3" t="n"/>
      <c r="C1018" s="3" t="n"/>
      <c r="D1018" s="3" t="n"/>
    </row>
    <row r="1019">
      <c r="A1019" s="3" t="n"/>
      <c r="B1019" s="3" t="n"/>
      <c r="C1019" s="3" t="n"/>
      <c r="D1019" s="3" t="n"/>
    </row>
    <row r="1020">
      <c r="A1020" s="3" t="n"/>
      <c r="B1020" s="3" t="n"/>
      <c r="C1020" s="3" t="n"/>
      <c r="D1020" s="3" t="n"/>
    </row>
    <row r="1021">
      <c r="A1021" s="3" t="n"/>
      <c r="B1021" s="3" t="n"/>
      <c r="C1021" s="3" t="n"/>
      <c r="D1021" s="3" t="n"/>
    </row>
    <row r="1022">
      <c r="A1022" s="3" t="n"/>
      <c r="B1022" s="3" t="n"/>
      <c r="C1022" s="3" t="n"/>
      <c r="D1022" s="3" t="n"/>
    </row>
    <row r="1023">
      <c r="A1023" s="3" t="n"/>
      <c r="B1023" s="3" t="n"/>
      <c r="C1023" s="3" t="n"/>
      <c r="D1023" s="3" t="n"/>
    </row>
    <row r="1024">
      <c r="A1024" s="3" t="n"/>
      <c r="B1024" s="3" t="n"/>
      <c r="C1024" s="3" t="n"/>
      <c r="D1024" s="3" t="n"/>
    </row>
    <row r="1025">
      <c r="A1025" s="3" t="n"/>
      <c r="B1025" s="3" t="n"/>
      <c r="C1025" s="3" t="n"/>
      <c r="D1025" s="3" t="n"/>
    </row>
    <row r="1026">
      <c r="A1026" s="3" t="n"/>
      <c r="B1026" s="3" t="n"/>
      <c r="C1026" s="3" t="n"/>
      <c r="D1026" s="3" t="n"/>
    </row>
    <row r="1027">
      <c r="A1027" s="3" t="n"/>
      <c r="B1027" s="3" t="n"/>
      <c r="C1027" s="3" t="n"/>
      <c r="D1027" s="3" t="n"/>
    </row>
    <row r="1028">
      <c r="A1028" s="3" t="n"/>
      <c r="B1028" s="3" t="n"/>
      <c r="C1028" s="3" t="n"/>
      <c r="D1028" s="3" t="n"/>
    </row>
    <row r="1029">
      <c r="A1029" s="3" t="n"/>
      <c r="B1029" s="3" t="n"/>
      <c r="C1029" s="3" t="n"/>
      <c r="D1029" s="3" t="n"/>
    </row>
    <row r="1030">
      <c r="A1030" s="3" t="n"/>
      <c r="B1030" s="3" t="n"/>
      <c r="C1030" s="3" t="n"/>
      <c r="D1030" s="3" t="n"/>
    </row>
    <row r="1031">
      <c r="A1031" s="3" t="n"/>
      <c r="B1031" s="3" t="n"/>
      <c r="C1031" s="3" t="n"/>
      <c r="D1031" s="3" t="n"/>
    </row>
    <row r="1032">
      <c r="A1032" s="3" t="n"/>
      <c r="B1032" s="3" t="n"/>
      <c r="C1032" s="3" t="n"/>
      <c r="D1032" s="3" t="n"/>
    </row>
    <row r="1033">
      <c r="A1033" s="3" t="n"/>
      <c r="B1033" s="3" t="n"/>
      <c r="C1033" s="3" t="n"/>
      <c r="D1033" s="3" t="n"/>
    </row>
    <row r="1034">
      <c r="A1034" s="3" t="n"/>
      <c r="B1034" s="3" t="n"/>
      <c r="C1034" s="3" t="n"/>
      <c r="D1034" s="3" t="n"/>
    </row>
    <row r="1035">
      <c r="A1035" s="3" t="n"/>
      <c r="B1035" s="3" t="n"/>
      <c r="C1035" s="3" t="n"/>
      <c r="D1035" s="3" t="n"/>
    </row>
    <row r="1036">
      <c r="A1036" s="3" t="n"/>
      <c r="B1036" s="3" t="n"/>
      <c r="C1036" s="3" t="n"/>
      <c r="D1036" s="3" t="n"/>
    </row>
    <row r="1037">
      <c r="A1037" s="3" t="n"/>
      <c r="B1037" s="3" t="n"/>
      <c r="C1037" s="3" t="n"/>
      <c r="D1037" s="3" t="n"/>
    </row>
    <row r="1038">
      <c r="A1038" s="3" t="n"/>
      <c r="B1038" s="3" t="n"/>
      <c r="C1038" s="3" t="n"/>
      <c r="D1038" s="3" t="n"/>
    </row>
    <row r="1039">
      <c r="A1039" s="3" t="n"/>
      <c r="B1039" s="3" t="n"/>
      <c r="C1039" s="3" t="n"/>
      <c r="D1039" s="3" t="n"/>
    </row>
    <row r="1040">
      <c r="A1040" s="3" t="n"/>
      <c r="B1040" s="3" t="n"/>
      <c r="C1040" s="3" t="n"/>
      <c r="D1040" s="3" t="n"/>
    </row>
    <row r="1041">
      <c r="A1041" s="3" t="n"/>
      <c r="B1041" s="3" t="n"/>
      <c r="C1041" s="3" t="n"/>
      <c r="D1041" s="3" t="n"/>
    </row>
    <row r="1042">
      <c r="A1042" s="3" t="n"/>
      <c r="B1042" s="3" t="n"/>
      <c r="C1042" s="3" t="n"/>
      <c r="D1042" s="3" t="n"/>
    </row>
    <row r="1043">
      <c r="A1043" s="3" t="n"/>
      <c r="B1043" s="3" t="n"/>
      <c r="C1043" s="3" t="n"/>
      <c r="D1043" s="3" t="n"/>
    </row>
    <row r="1044">
      <c r="A1044" s="3" t="n"/>
      <c r="B1044" s="3" t="n"/>
      <c r="C1044" s="3" t="n"/>
      <c r="D1044" s="3" t="n"/>
    </row>
    <row r="1045">
      <c r="A1045" s="3" t="n"/>
      <c r="B1045" s="3" t="n"/>
      <c r="C1045" s="3" t="n"/>
      <c r="D1045" s="3" t="n"/>
    </row>
    <row r="1046">
      <c r="A1046" s="3" t="n"/>
      <c r="B1046" s="3" t="n"/>
      <c r="C1046" s="3" t="n"/>
      <c r="D1046" s="3" t="n"/>
    </row>
    <row r="1047">
      <c r="A1047" s="3" t="n"/>
      <c r="B1047" s="3" t="n"/>
      <c r="C1047" s="3" t="n"/>
      <c r="D1047" s="3" t="n"/>
    </row>
    <row r="1048">
      <c r="A1048" s="3" t="n"/>
      <c r="B1048" s="3" t="n"/>
      <c r="C1048" s="3" t="n"/>
      <c r="D1048" s="3" t="n"/>
    </row>
    <row r="1049">
      <c r="A1049" s="3" t="n"/>
      <c r="B1049" s="3" t="n"/>
      <c r="C1049" s="3" t="n"/>
      <c r="D1049" s="3" t="n"/>
    </row>
    <row r="1050">
      <c r="A1050" s="3" t="n"/>
      <c r="B1050" s="3" t="n"/>
      <c r="C1050" s="3" t="n"/>
      <c r="D1050" s="3" t="n"/>
    </row>
    <row r="1051">
      <c r="A1051" s="3" t="n"/>
      <c r="B1051" s="3" t="n"/>
      <c r="C1051" s="3" t="n"/>
      <c r="D1051" s="3" t="n"/>
    </row>
    <row r="1052">
      <c r="A1052" s="3" t="n"/>
      <c r="B1052" s="3" t="n"/>
      <c r="C1052" s="3" t="n"/>
      <c r="D1052" s="3" t="n"/>
    </row>
    <row r="1053">
      <c r="A1053" s="3" t="n"/>
      <c r="B1053" s="3" t="n"/>
      <c r="C1053" s="3" t="n"/>
      <c r="D1053" s="3" t="n"/>
    </row>
    <row r="1054">
      <c r="A1054" s="3" t="n"/>
      <c r="B1054" s="3" t="n"/>
      <c r="C1054" s="3" t="n"/>
      <c r="D1054" s="3" t="n"/>
    </row>
    <row r="1055">
      <c r="A1055" s="3" t="n"/>
      <c r="B1055" s="3" t="n"/>
      <c r="C1055" s="3" t="n"/>
      <c r="D1055" s="3" t="n"/>
    </row>
    <row r="1056">
      <c r="A1056" s="3" t="n"/>
      <c r="B1056" s="3" t="n"/>
      <c r="C1056" s="3" t="n"/>
      <c r="D1056" s="3" t="n"/>
    </row>
    <row r="1057">
      <c r="A1057" s="3" t="n"/>
      <c r="B1057" s="3" t="n"/>
      <c r="C1057" s="3" t="n"/>
      <c r="D1057" s="3" t="n"/>
    </row>
    <row r="1058">
      <c r="A1058" s="3" t="n"/>
      <c r="B1058" s="3" t="n"/>
      <c r="C1058" s="3" t="n"/>
      <c r="D1058" s="3" t="n"/>
    </row>
    <row r="1059">
      <c r="A1059" s="3" t="n"/>
      <c r="B1059" s="3" t="n"/>
      <c r="C1059" s="3" t="n"/>
      <c r="D1059" s="3" t="n"/>
    </row>
    <row r="1060">
      <c r="A1060" s="3" t="n"/>
      <c r="B1060" s="3" t="n"/>
      <c r="C1060" s="3" t="n"/>
      <c r="D1060" s="3" t="n"/>
    </row>
    <row r="1061">
      <c r="A1061" s="3" t="n"/>
      <c r="B1061" s="3" t="n"/>
      <c r="C1061" s="3" t="n"/>
      <c r="D1061" s="3" t="n"/>
    </row>
    <row r="1062">
      <c r="A1062" s="3" t="n"/>
      <c r="B1062" s="3" t="n"/>
      <c r="C1062" s="3" t="n"/>
      <c r="D1062" s="3" t="n"/>
    </row>
    <row r="1063">
      <c r="A1063" s="3" t="n"/>
      <c r="B1063" s="3" t="n"/>
      <c r="C1063" s="3" t="n"/>
      <c r="D1063" s="3" t="n"/>
    </row>
    <row r="1064">
      <c r="A1064" s="3" t="n"/>
      <c r="B1064" s="3" t="n"/>
      <c r="C1064" s="3" t="n"/>
      <c r="D1064" s="3" t="n"/>
    </row>
    <row r="1065">
      <c r="A1065" s="3" t="n"/>
      <c r="B1065" s="3" t="n"/>
      <c r="C1065" s="3" t="n"/>
      <c r="D1065" s="3" t="n"/>
    </row>
    <row r="1066">
      <c r="A1066" s="3" t="n"/>
      <c r="B1066" s="3" t="n"/>
      <c r="C1066" s="3" t="n"/>
      <c r="D1066" s="3" t="n"/>
    </row>
    <row r="1067">
      <c r="A1067" s="3" t="n"/>
      <c r="B1067" s="3" t="n"/>
      <c r="C1067" s="3" t="n"/>
      <c r="D1067" s="3" t="n"/>
    </row>
    <row r="1068">
      <c r="A1068" s="3" t="n"/>
      <c r="B1068" s="3" t="n"/>
      <c r="C1068" s="3" t="n"/>
      <c r="D1068" s="3" t="n"/>
    </row>
    <row r="1069">
      <c r="A1069" s="3" t="n"/>
      <c r="B1069" s="3" t="n"/>
      <c r="C1069" s="3" t="n"/>
      <c r="D1069" s="3" t="n"/>
    </row>
    <row r="1070">
      <c r="A1070" s="3" t="n"/>
      <c r="B1070" s="3" t="n"/>
      <c r="C1070" s="3" t="n"/>
      <c r="D1070" s="3" t="n"/>
    </row>
    <row r="1071">
      <c r="A1071" s="3" t="n"/>
      <c r="B1071" s="3" t="n"/>
      <c r="C1071" s="3" t="n"/>
      <c r="D1071" s="3" t="n"/>
    </row>
    <row r="1072">
      <c r="A1072" s="3" t="n"/>
      <c r="B1072" s="3" t="n"/>
      <c r="C1072" s="3" t="n"/>
      <c r="D1072" s="3" t="n"/>
    </row>
    <row r="1073">
      <c r="A1073" s="3" t="n"/>
      <c r="B1073" s="3" t="n"/>
      <c r="C1073" s="3" t="n"/>
      <c r="D1073" s="3" t="n"/>
    </row>
    <row r="1074">
      <c r="A1074" s="3" t="n"/>
      <c r="B1074" s="3" t="n"/>
      <c r="C1074" s="3" t="n"/>
      <c r="D1074" s="3" t="n"/>
    </row>
    <row r="1075">
      <c r="A1075" s="3" t="n"/>
      <c r="B1075" s="3" t="n"/>
      <c r="C1075" s="3" t="n"/>
      <c r="D1075" s="3" t="n"/>
    </row>
    <row r="1076">
      <c r="A1076" s="3" t="n"/>
      <c r="B1076" s="3" t="n"/>
      <c r="C1076" s="3" t="n"/>
      <c r="D1076" s="3" t="n"/>
    </row>
    <row r="1077">
      <c r="A1077" s="3" t="n"/>
      <c r="B1077" s="3" t="n"/>
      <c r="C1077" s="3" t="n"/>
      <c r="D1077" s="3" t="n"/>
    </row>
    <row r="1078">
      <c r="A1078" s="3" t="n"/>
      <c r="B1078" s="3" t="n"/>
      <c r="C1078" s="3" t="n"/>
      <c r="D1078" s="3" t="n"/>
    </row>
    <row r="1079">
      <c r="A1079" s="3" t="n"/>
      <c r="B1079" s="3" t="n"/>
      <c r="C1079" s="3" t="n"/>
      <c r="D1079" s="3" t="n"/>
    </row>
    <row r="1080">
      <c r="A1080" s="3" t="n"/>
      <c r="B1080" s="3" t="n"/>
      <c r="C1080" s="3" t="n"/>
      <c r="D1080" s="3" t="n"/>
    </row>
    <row r="1081">
      <c r="A1081" s="3" t="n"/>
      <c r="B1081" s="3" t="n"/>
      <c r="C1081" s="3" t="n"/>
      <c r="D1081" s="3" t="n"/>
    </row>
    <row r="1082">
      <c r="A1082" s="3" t="n"/>
      <c r="B1082" s="3" t="n"/>
      <c r="C1082" s="3" t="n"/>
      <c r="D1082" s="3" t="n"/>
    </row>
    <row r="1083">
      <c r="A1083" s="3" t="n"/>
      <c r="B1083" s="3" t="n"/>
      <c r="C1083" s="3" t="n"/>
      <c r="D1083" s="3" t="n"/>
    </row>
    <row r="1084">
      <c r="A1084" s="3" t="n"/>
      <c r="B1084" s="3" t="n"/>
      <c r="C1084" s="3" t="n"/>
      <c r="D1084" s="3" t="n"/>
    </row>
    <row r="1085">
      <c r="A1085" s="3" t="n"/>
      <c r="B1085" s="3" t="n"/>
      <c r="C1085" s="3" t="n"/>
      <c r="D1085" s="3" t="n"/>
    </row>
    <row r="1086">
      <c r="A1086" s="3" t="n"/>
      <c r="B1086" s="3" t="n"/>
      <c r="C1086" s="3" t="n"/>
      <c r="D1086" s="3" t="n"/>
    </row>
    <row r="1087">
      <c r="A1087" s="3" t="n"/>
      <c r="B1087" s="3" t="n"/>
      <c r="C1087" s="3" t="n"/>
      <c r="D1087" s="3" t="n"/>
    </row>
    <row r="1088">
      <c r="A1088" s="3" t="n"/>
      <c r="B1088" s="3" t="n"/>
      <c r="C1088" s="3" t="n"/>
      <c r="D1088" s="3" t="n"/>
    </row>
    <row r="1089">
      <c r="A1089" s="3" t="n"/>
      <c r="B1089" s="3" t="n"/>
      <c r="C1089" s="3" t="n"/>
      <c r="D1089" s="3" t="n"/>
    </row>
    <row r="1090">
      <c r="A1090" s="3" t="n"/>
      <c r="B1090" s="3" t="n"/>
      <c r="C1090" s="3" t="n"/>
      <c r="D1090" s="3" t="n"/>
    </row>
    <row r="1091">
      <c r="A1091" s="3" t="n"/>
      <c r="B1091" s="3" t="n"/>
      <c r="C1091" s="3" t="n"/>
      <c r="D1091" s="3" t="n"/>
    </row>
    <row r="1092">
      <c r="A1092" s="3" t="n"/>
      <c r="B1092" s="3" t="n"/>
      <c r="C1092" s="3" t="n"/>
      <c r="D1092" s="3" t="n"/>
    </row>
    <row r="1093">
      <c r="A1093" s="3" t="n"/>
      <c r="B1093" s="3" t="n"/>
      <c r="C1093" s="3" t="n"/>
      <c r="D1093" s="3" t="n"/>
    </row>
    <row r="1094">
      <c r="A1094" s="3" t="n"/>
      <c r="B1094" s="3" t="n"/>
      <c r="C1094" s="3" t="n"/>
      <c r="D1094" s="3" t="n"/>
    </row>
    <row r="1095">
      <c r="A1095" s="3" t="n"/>
      <c r="B1095" s="3" t="n"/>
      <c r="C1095" s="3" t="n"/>
      <c r="D1095" s="3" t="n"/>
    </row>
    <row r="1096">
      <c r="A1096" s="3" t="n"/>
      <c r="B1096" s="3" t="n"/>
      <c r="C1096" s="3" t="n"/>
      <c r="D1096" s="3" t="n"/>
    </row>
    <row r="1097">
      <c r="A1097" s="3" t="n"/>
      <c r="B1097" s="3" t="n"/>
      <c r="C1097" s="3" t="n"/>
      <c r="D1097" s="3" t="n"/>
    </row>
    <row r="1098">
      <c r="A1098" s="3" t="n"/>
      <c r="B1098" s="3" t="n"/>
      <c r="C1098" s="3" t="n"/>
      <c r="D1098" s="3" t="n"/>
    </row>
    <row r="1099">
      <c r="A1099" s="3" t="n"/>
      <c r="B1099" s="3" t="n"/>
      <c r="C1099" s="3" t="n"/>
      <c r="D1099" s="3" t="n"/>
    </row>
    <row r="1100">
      <c r="A1100" s="3" t="n"/>
      <c r="B1100" s="3" t="n"/>
      <c r="C1100" s="3" t="n"/>
      <c r="D1100" s="3" t="n"/>
    </row>
    <row r="1101">
      <c r="A1101" s="3" t="n"/>
      <c r="B1101" s="3" t="n"/>
      <c r="C1101" s="3" t="n"/>
      <c r="D1101" s="3" t="n"/>
    </row>
    <row r="1102">
      <c r="A1102" s="3" t="n"/>
      <c r="B1102" s="3" t="n"/>
      <c r="C1102" s="3" t="n"/>
      <c r="D1102" s="3" t="n"/>
    </row>
    <row r="1103">
      <c r="A1103" s="3" t="n"/>
      <c r="B1103" s="3" t="n"/>
      <c r="C1103" s="3" t="n"/>
      <c r="D1103" s="3" t="n"/>
    </row>
    <row r="1104">
      <c r="A1104" s="3" t="n"/>
      <c r="B1104" s="3" t="n"/>
      <c r="C1104" s="3" t="n"/>
      <c r="D1104" s="3" t="n"/>
    </row>
    <row r="1105">
      <c r="A1105" s="3" t="n"/>
      <c r="B1105" s="3" t="n"/>
      <c r="C1105" s="3" t="n"/>
      <c r="D1105" s="3" t="n"/>
    </row>
    <row r="1106">
      <c r="A1106" s="3" t="n"/>
      <c r="B1106" s="3" t="n"/>
      <c r="C1106" s="3" t="n"/>
      <c r="D1106" s="3" t="n"/>
    </row>
    <row r="1107">
      <c r="A1107" s="3" t="n"/>
      <c r="B1107" s="3" t="n"/>
      <c r="C1107" s="3" t="n"/>
      <c r="D1107" s="3" t="n"/>
    </row>
    <row r="1108">
      <c r="A1108" s="3" t="n"/>
      <c r="B1108" s="3" t="n"/>
      <c r="C1108" s="3" t="n"/>
      <c r="D1108" s="3" t="n"/>
    </row>
    <row r="1109">
      <c r="A1109" s="3" t="n"/>
      <c r="B1109" s="3" t="n"/>
      <c r="C1109" s="3" t="n"/>
      <c r="D1109" s="3" t="n"/>
    </row>
    <row r="1110">
      <c r="A1110" s="3" t="n"/>
      <c r="B1110" s="3" t="n"/>
      <c r="C1110" s="3" t="n"/>
      <c r="D1110" s="3" t="n"/>
    </row>
    <row r="1111">
      <c r="A1111" s="3" t="n"/>
      <c r="B1111" s="3" t="n"/>
      <c r="C1111" s="3" t="n"/>
      <c r="D1111" s="3" t="n"/>
    </row>
    <row r="1112">
      <c r="A1112" s="3" t="n"/>
      <c r="B1112" s="3" t="n"/>
      <c r="C1112" s="3" t="n"/>
      <c r="D1112" s="3" t="n"/>
    </row>
    <row r="1113">
      <c r="A1113" s="3" t="n"/>
      <c r="B1113" s="3" t="n"/>
      <c r="C1113" s="3" t="n"/>
      <c r="D1113" s="3" t="n"/>
    </row>
    <row r="1114">
      <c r="A1114" s="3" t="n"/>
      <c r="B1114" s="3" t="n"/>
      <c r="C1114" s="3" t="n"/>
      <c r="D1114" s="3" t="n"/>
    </row>
    <row r="1115">
      <c r="A1115" s="3" t="n"/>
      <c r="B1115" s="3" t="n"/>
      <c r="C1115" s="3" t="n"/>
      <c r="D1115" s="3" t="n"/>
    </row>
    <row r="1116">
      <c r="A1116" s="3" t="n"/>
      <c r="B1116" s="3" t="n"/>
      <c r="C1116" s="3" t="n"/>
      <c r="D1116" s="3" t="n"/>
    </row>
    <row r="1117">
      <c r="A1117" s="3" t="n"/>
      <c r="B1117" s="3" t="n"/>
      <c r="C1117" s="3" t="n"/>
      <c r="D1117" s="3" t="n"/>
    </row>
    <row r="1118">
      <c r="A1118" s="3" t="n"/>
      <c r="B1118" s="3" t="n"/>
      <c r="C1118" s="3" t="n"/>
      <c r="D1118" s="3" t="n"/>
    </row>
    <row r="1119">
      <c r="A1119" s="3" t="n"/>
      <c r="B1119" s="3" t="n"/>
      <c r="C1119" s="3" t="n"/>
      <c r="D1119" s="3" t="n"/>
    </row>
    <row r="1120">
      <c r="A1120" s="3" t="n"/>
      <c r="B1120" s="3" t="n"/>
      <c r="C1120" s="3" t="n"/>
      <c r="D1120" s="3" t="n"/>
    </row>
    <row r="1121">
      <c r="A1121" s="3" t="n"/>
      <c r="B1121" s="3" t="n"/>
      <c r="C1121" s="3" t="n"/>
      <c r="D1121" s="3" t="n"/>
    </row>
    <row r="1122">
      <c r="A1122" s="3" t="n"/>
      <c r="B1122" s="3" t="n"/>
      <c r="C1122" s="3" t="n"/>
      <c r="D1122" s="3" t="n"/>
    </row>
    <row r="1123">
      <c r="A1123" s="3" t="n"/>
      <c r="B1123" s="3" t="n"/>
      <c r="C1123" s="3" t="n"/>
      <c r="D1123" s="3" t="n"/>
    </row>
    <row r="1124">
      <c r="A1124" s="3" t="n"/>
      <c r="B1124" s="3" t="n"/>
      <c r="C1124" s="3" t="n"/>
      <c r="D1124" s="3" t="n"/>
    </row>
    <row r="1125">
      <c r="A1125" s="3" t="n"/>
      <c r="B1125" s="3" t="n"/>
      <c r="C1125" s="3" t="n"/>
      <c r="D1125" s="3" t="n"/>
    </row>
    <row r="1126">
      <c r="A1126" s="3" t="n"/>
      <c r="B1126" s="3" t="n"/>
      <c r="C1126" s="3" t="n"/>
      <c r="D1126" s="3" t="n"/>
    </row>
    <row r="1127">
      <c r="A1127" s="3" t="n"/>
      <c r="B1127" s="3" t="n"/>
      <c r="C1127" s="3" t="n"/>
      <c r="D1127" s="3" t="n"/>
    </row>
    <row r="1128">
      <c r="A1128" s="3" t="n"/>
      <c r="B1128" s="3" t="n"/>
      <c r="C1128" s="3" t="n"/>
      <c r="D1128" s="3" t="n"/>
    </row>
    <row r="1129">
      <c r="A1129" s="3" t="n"/>
      <c r="B1129" s="3" t="n"/>
      <c r="C1129" s="3" t="n"/>
      <c r="D1129" s="3" t="n"/>
    </row>
    <row r="1130">
      <c r="A1130" s="3" t="n"/>
      <c r="B1130" s="3" t="n"/>
      <c r="C1130" s="3" t="n"/>
      <c r="D1130" s="3" t="n"/>
    </row>
    <row r="1131">
      <c r="A1131" s="3" t="n"/>
      <c r="B1131" s="3" t="n"/>
      <c r="C1131" s="3" t="n"/>
      <c r="D1131" s="3" t="n"/>
    </row>
    <row r="1132">
      <c r="A1132" s="3" t="n"/>
      <c r="B1132" s="3" t="n"/>
      <c r="C1132" s="3" t="n"/>
      <c r="D1132" s="3" t="n"/>
    </row>
    <row r="1133">
      <c r="A1133" s="3" t="n"/>
      <c r="B1133" s="3" t="n"/>
      <c r="C1133" s="3" t="n"/>
      <c r="D1133" s="3" t="n"/>
    </row>
    <row r="1134">
      <c r="A1134" s="3" t="n"/>
      <c r="B1134" s="3" t="n"/>
      <c r="C1134" s="3" t="n"/>
      <c r="D1134" s="3" t="n"/>
    </row>
    <row r="1135">
      <c r="A1135" s="3" t="n"/>
      <c r="B1135" s="3" t="n"/>
      <c r="C1135" s="3" t="n"/>
      <c r="D1135" s="3" t="n"/>
    </row>
    <row r="1136">
      <c r="A1136" s="3" t="n"/>
      <c r="B1136" s="3" t="n"/>
      <c r="C1136" s="3" t="n"/>
      <c r="D1136" s="3" t="n"/>
    </row>
    <row r="1137">
      <c r="A1137" s="3" t="n"/>
      <c r="B1137" s="3" t="n"/>
      <c r="C1137" s="3" t="n"/>
      <c r="D1137" s="3" t="n"/>
    </row>
    <row r="1138">
      <c r="A1138" s="3" t="n"/>
      <c r="B1138" s="3" t="n"/>
      <c r="C1138" s="3" t="n"/>
      <c r="D1138" s="3" t="n"/>
    </row>
    <row r="1139">
      <c r="A1139" s="3" t="n"/>
      <c r="B1139" s="3" t="n"/>
      <c r="C1139" s="3" t="n"/>
      <c r="D1139" s="3" t="n"/>
    </row>
    <row r="1140">
      <c r="A1140" s="3" t="n"/>
      <c r="B1140" s="3" t="n"/>
      <c r="C1140" s="3" t="n"/>
      <c r="D1140" s="3" t="n"/>
    </row>
    <row r="1141">
      <c r="A1141" s="3" t="n"/>
      <c r="B1141" s="3" t="n"/>
      <c r="C1141" s="3" t="n"/>
      <c r="D1141" s="3" t="n"/>
    </row>
    <row r="1142">
      <c r="A1142" s="3" t="n"/>
      <c r="B1142" s="3" t="n"/>
      <c r="C1142" s="3" t="n"/>
      <c r="D1142" s="3" t="n"/>
    </row>
    <row r="1143">
      <c r="A1143" s="3" t="n"/>
      <c r="B1143" s="3" t="n"/>
      <c r="C1143" s="3" t="n"/>
      <c r="D1143" s="3" t="n"/>
    </row>
    <row r="1144">
      <c r="A1144" s="3" t="n"/>
      <c r="B1144" s="3" t="n"/>
      <c r="C1144" s="3" t="n"/>
      <c r="D1144" s="3" t="n"/>
    </row>
    <row r="1145">
      <c r="A1145" s="3" t="n"/>
      <c r="B1145" s="3" t="n"/>
      <c r="C1145" s="3" t="n"/>
      <c r="D1145" s="3" t="n"/>
    </row>
    <row r="1146">
      <c r="A1146" s="3" t="n"/>
      <c r="B1146" s="3" t="n"/>
      <c r="C1146" s="3" t="n"/>
      <c r="D1146" s="3" t="n"/>
    </row>
    <row r="1147">
      <c r="A1147" s="3" t="n"/>
      <c r="B1147" s="3" t="n"/>
      <c r="C1147" s="3" t="n"/>
      <c r="D1147" s="3" t="n"/>
    </row>
    <row r="1148">
      <c r="A1148" s="3" t="n"/>
      <c r="B1148" s="3" t="n"/>
      <c r="C1148" s="3" t="n"/>
      <c r="D1148" s="3" t="n"/>
    </row>
    <row r="1149">
      <c r="A1149" s="3" t="n"/>
      <c r="B1149" s="3" t="n"/>
      <c r="C1149" s="3" t="n"/>
      <c r="D1149" s="3" t="n"/>
    </row>
    <row r="1150">
      <c r="A1150" s="3" t="n"/>
      <c r="B1150" s="3" t="n"/>
      <c r="C1150" s="3" t="n"/>
      <c r="D1150" s="3" t="n"/>
    </row>
    <row r="1151">
      <c r="A1151" s="3" t="n"/>
      <c r="B1151" s="3" t="n"/>
      <c r="C1151" s="3" t="n"/>
      <c r="D1151" s="3" t="n"/>
    </row>
    <row r="1152">
      <c r="A1152" s="3" t="n"/>
      <c r="B1152" s="3" t="n"/>
      <c r="C1152" s="3" t="n"/>
      <c r="D1152" s="3" t="n"/>
    </row>
    <row r="1153">
      <c r="A1153" s="3" t="n"/>
      <c r="B1153" s="3" t="n"/>
      <c r="C1153" s="3" t="n"/>
      <c r="D1153" s="3" t="n"/>
    </row>
    <row r="1154">
      <c r="A1154" s="3" t="n"/>
      <c r="B1154" s="3" t="n"/>
      <c r="C1154" s="3" t="n"/>
      <c r="D1154" s="3" t="n"/>
    </row>
    <row r="1155">
      <c r="A1155" s="3" t="n"/>
      <c r="B1155" s="3" t="n"/>
      <c r="C1155" s="3" t="n"/>
      <c r="D1155" s="3" t="n"/>
    </row>
    <row r="1156">
      <c r="A1156" s="3" t="n"/>
      <c r="B1156" s="3" t="n"/>
      <c r="C1156" s="3" t="n"/>
      <c r="D1156" s="3" t="n"/>
    </row>
    <row r="1157">
      <c r="A1157" s="3" t="n"/>
      <c r="B1157" s="3" t="n"/>
      <c r="C1157" s="3" t="n"/>
      <c r="D1157" s="3" t="n"/>
    </row>
    <row r="1158">
      <c r="A1158" s="3" t="n"/>
      <c r="B1158" s="3" t="n"/>
      <c r="C1158" s="3" t="n"/>
      <c r="D1158" s="3" t="n"/>
    </row>
    <row r="1159">
      <c r="A1159" s="3" t="n"/>
      <c r="B1159" s="3" t="n"/>
      <c r="C1159" s="3" t="n"/>
      <c r="D1159" s="3" t="n"/>
    </row>
    <row r="1160">
      <c r="A1160" s="3" t="n"/>
      <c r="B1160" s="3" t="n"/>
      <c r="C1160" s="3" t="n"/>
      <c r="D1160" s="3" t="n"/>
    </row>
    <row r="1161">
      <c r="A1161" s="3" t="n"/>
      <c r="B1161" s="3" t="n"/>
      <c r="C1161" s="3" t="n"/>
      <c r="D1161" s="3" t="n"/>
    </row>
    <row r="1162">
      <c r="A1162" s="3" t="n"/>
      <c r="B1162" s="3" t="n"/>
      <c r="C1162" s="3" t="n"/>
      <c r="D1162" s="3" t="n"/>
    </row>
    <row r="1163">
      <c r="A1163" s="3" t="n"/>
      <c r="B1163" s="3" t="n"/>
      <c r="C1163" s="3" t="n"/>
      <c r="D1163" s="3" t="n"/>
    </row>
    <row r="1164">
      <c r="A1164" s="3" t="n"/>
      <c r="B1164" s="3" t="n"/>
      <c r="C1164" s="3" t="n"/>
      <c r="D1164" s="3" t="n"/>
    </row>
    <row r="1165">
      <c r="A1165" s="3" t="n"/>
      <c r="B1165" s="3" t="n"/>
      <c r="C1165" s="3" t="n"/>
      <c r="D1165" s="3" t="n"/>
    </row>
    <row r="1166">
      <c r="A1166" s="3" t="n"/>
      <c r="B1166" s="3" t="n"/>
      <c r="C1166" s="3" t="n"/>
      <c r="D1166" s="3" t="n"/>
    </row>
    <row r="1167">
      <c r="A1167" s="3" t="n"/>
      <c r="B1167" s="3" t="n"/>
      <c r="C1167" s="3" t="n"/>
      <c r="D1167" s="3" t="n"/>
    </row>
    <row r="1168">
      <c r="A1168" s="3" t="n"/>
      <c r="B1168" s="3" t="n"/>
      <c r="C1168" s="3" t="n"/>
      <c r="D1168" s="3" t="n"/>
    </row>
    <row r="1169">
      <c r="A1169" s="3" t="n"/>
      <c r="B1169" s="3" t="n"/>
      <c r="C1169" s="3" t="n"/>
      <c r="D1169" s="3" t="n"/>
    </row>
    <row r="1170">
      <c r="A1170" s="3" t="n"/>
      <c r="B1170" s="3" t="n"/>
      <c r="C1170" s="3" t="n"/>
      <c r="D1170" s="3" t="n"/>
    </row>
    <row r="1171">
      <c r="A1171" s="3" t="n"/>
      <c r="B1171" s="3" t="n"/>
      <c r="C1171" s="3" t="n"/>
      <c r="D1171" s="3" t="n"/>
    </row>
    <row r="1172">
      <c r="A1172" s="3" t="n"/>
      <c r="B1172" s="3" t="n"/>
      <c r="C1172" s="3" t="n"/>
      <c r="D1172" s="3" t="n"/>
    </row>
    <row r="1173">
      <c r="A1173" s="3" t="n"/>
      <c r="B1173" s="3" t="n"/>
      <c r="C1173" s="3" t="n"/>
      <c r="D1173" s="3" t="n"/>
    </row>
    <row r="1174">
      <c r="A1174" s="3" t="n"/>
      <c r="B1174" s="3" t="n"/>
      <c r="C1174" s="3" t="n"/>
      <c r="D1174" s="3" t="n"/>
    </row>
    <row r="1175">
      <c r="A1175" s="3" t="n"/>
      <c r="B1175" s="3" t="n"/>
      <c r="C1175" s="3" t="n"/>
      <c r="D1175" s="3" t="n"/>
    </row>
    <row r="1176">
      <c r="A1176" s="3" t="n"/>
      <c r="B1176" s="3" t="n"/>
      <c r="C1176" s="3" t="n"/>
      <c r="D1176" s="3" t="n"/>
    </row>
    <row r="1177">
      <c r="A1177" s="3" t="n"/>
      <c r="B1177" s="3" t="n"/>
      <c r="C1177" s="3" t="n"/>
      <c r="D1177" s="3" t="n"/>
    </row>
    <row r="1178">
      <c r="A1178" s="3" t="n"/>
      <c r="B1178" s="3" t="n"/>
      <c r="C1178" s="3" t="n"/>
      <c r="D1178" s="3" t="n"/>
    </row>
    <row r="1179">
      <c r="A1179" s="3" t="n"/>
      <c r="B1179" s="3" t="n"/>
      <c r="C1179" s="3" t="n"/>
      <c r="D1179" s="3" t="n"/>
    </row>
    <row r="1180">
      <c r="A1180" s="3" t="n"/>
      <c r="B1180" s="3" t="n"/>
      <c r="C1180" s="3" t="n"/>
      <c r="D1180" s="3" t="n"/>
    </row>
    <row r="1181">
      <c r="A1181" s="3" t="n"/>
      <c r="B1181" s="3" t="n"/>
      <c r="C1181" s="3" t="n"/>
      <c r="D1181" s="3" t="n"/>
    </row>
    <row r="1182">
      <c r="A1182" s="3" t="n"/>
      <c r="B1182" s="3" t="n"/>
      <c r="C1182" s="3" t="n"/>
      <c r="D1182" s="3" t="n"/>
    </row>
    <row r="1183">
      <c r="A1183" s="3" t="n"/>
      <c r="B1183" s="3" t="n"/>
      <c r="C1183" s="3" t="n"/>
      <c r="D1183" s="3" t="n"/>
    </row>
    <row r="1184">
      <c r="A1184" s="3" t="n"/>
      <c r="B1184" s="3" t="n"/>
      <c r="C1184" s="3" t="n"/>
      <c r="D1184" s="3" t="n"/>
    </row>
    <row r="1185">
      <c r="A1185" s="3" t="n"/>
      <c r="B1185" s="3" t="n"/>
      <c r="C1185" s="3" t="n"/>
      <c r="D1185" s="3" t="n"/>
    </row>
    <row r="1186">
      <c r="A1186" s="3" t="n"/>
      <c r="B1186" s="3" t="n"/>
      <c r="C1186" s="3" t="n"/>
      <c r="D1186" s="3" t="n"/>
    </row>
    <row r="1187">
      <c r="A1187" s="3" t="n"/>
      <c r="B1187" s="3" t="n"/>
      <c r="C1187" s="3" t="n"/>
      <c r="D1187" s="3" t="n"/>
    </row>
    <row r="1188">
      <c r="A1188" s="3" t="n"/>
      <c r="B1188" s="3" t="n"/>
      <c r="C1188" s="3" t="n"/>
      <c r="D1188" s="3" t="n"/>
    </row>
    <row r="1189">
      <c r="A1189" s="3" t="n"/>
      <c r="B1189" s="3" t="n"/>
      <c r="C1189" s="3" t="n"/>
      <c r="D1189" s="3" t="n"/>
    </row>
    <row r="1190">
      <c r="A1190" s="3" t="n"/>
      <c r="B1190" s="3" t="n"/>
      <c r="C1190" s="3" t="n"/>
      <c r="D1190" s="3" t="n"/>
    </row>
    <row r="1191">
      <c r="A1191" s="3" t="n"/>
      <c r="B1191" s="3" t="n"/>
      <c r="C1191" s="3" t="n"/>
      <c r="D1191" s="3" t="n"/>
    </row>
    <row r="1192">
      <c r="A1192" s="3" t="n"/>
      <c r="B1192" s="3" t="n"/>
      <c r="C1192" s="3" t="n"/>
      <c r="D1192" s="3" t="n"/>
    </row>
    <row r="1193">
      <c r="A1193" s="3" t="n"/>
      <c r="B1193" s="3" t="n"/>
      <c r="C1193" s="3" t="n"/>
      <c r="D1193" s="3" t="n"/>
    </row>
    <row r="1194">
      <c r="A1194" s="3" t="n"/>
      <c r="B1194" s="3" t="n"/>
      <c r="C1194" s="3" t="n"/>
      <c r="D1194" s="3" t="n"/>
    </row>
    <row r="1195">
      <c r="A1195" s="3" t="n"/>
      <c r="B1195" s="3" t="n"/>
      <c r="C1195" s="3" t="n"/>
      <c r="D1195" s="3" t="n"/>
    </row>
    <row r="1196">
      <c r="A1196" s="3" t="n"/>
      <c r="B1196" s="3" t="n"/>
      <c r="C1196" s="3" t="n"/>
      <c r="D1196" s="3" t="n"/>
    </row>
    <row r="1197">
      <c r="A1197" s="3" t="n"/>
      <c r="B1197" s="3" t="n"/>
      <c r="C1197" s="3" t="n"/>
      <c r="D1197" s="3" t="n"/>
    </row>
    <row r="1198">
      <c r="A1198" s="3" t="n"/>
      <c r="B1198" s="3" t="n"/>
      <c r="C1198" s="3" t="n"/>
      <c r="D1198" s="3" t="n"/>
    </row>
    <row r="1199">
      <c r="A1199" s="3" t="n"/>
      <c r="B1199" s="3" t="n"/>
      <c r="C1199" s="3" t="n"/>
      <c r="D1199" s="3" t="n"/>
    </row>
    <row r="1200">
      <c r="A1200" s="3" t="n"/>
      <c r="B1200" s="3" t="n"/>
      <c r="C1200" s="3" t="n"/>
      <c r="D1200" s="3" t="n"/>
    </row>
    <row r="1201">
      <c r="A1201" s="3" t="n"/>
      <c r="B1201" s="3" t="n"/>
      <c r="C1201" s="3" t="n"/>
      <c r="D1201" s="3" t="n"/>
    </row>
    <row r="1202">
      <c r="A1202" s="3" t="n"/>
      <c r="B1202" s="3" t="n"/>
      <c r="C1202" s="3" t="n"/>
      <c r="D1202" s="3" t="n"/>
    </row>
    <row r="1203">
      <c r="A1203" s="3" t="n"/>
      <c r="B1203" s="3" t="n"/>
      <c r="C1203" s="3" t="n"/>
      <c r="D1203" s="3" t="n"/>
    </row>
    <row r="1204">
      <c r="A1204" s="3" t="n"/>
      <c r="B1204" s="3" t="n"/>
      <c r="C1204" s="3" t="n"/>
      <c r="D1204" s="3" t="n"/>
    </row>
    <row r="1205">
      <c r="A1205" s="3" t="n"/>
      <c r="B1205" s="3" t="n"/>
      <c r="C1205" s="3" t="n"/>
      <c r="D1205" s="3" t="n"/>
    </row>
    <row r="1206">
      <c r="A1206" s="3" t="n"/>
      <c r="B1206" s="3" t="n"/>
      <c r="C1206" s="3" t="n"/>
      <c r="D1206" s="3" t="n"/>
    </row>
    <row r="1207">
      <c r="A1207" s="3" t="n"/>
      <c r="B1207" s="3" t="n"/>
      <c r="C1207" s="3" t="n"/>
      <c r="D1207" s="3" t="n"/>
    </row>
    <row r="1208">
      <c r="A1208" s="3" t="n"/>
      <c r="B1208" s="3" t="n"/>
      <c r="C1208" s="3" t="n"/>
      <c r="D1208" s="3" t="n"/>
    </row>
    <row r="1209">
      <c r="A1209" s="3" t="n"/>
      <c r="B1209" s="3" t="n"/>
      <c r="C1209" s="3" t="n"/>
      <c r="D1209" s="3" t="n"/>
    </row>
    <row r="1210">
      <c r="A1210" s="3" t="n"/>
      <c r="B1210" s="3" t="n"/>
      <c r="C1210" s="3" t="n"/>
      <c r="D1210" s="3" t="n"/>
    </row>
    <row r="1211">
      <c r="A1211" s="3" t="n"/>
      <c r="B1211" s="3" t="n"/>
      <c r="C1211" s="3" t="n"/>
      <c r="D1211" s="3" t="n"/>
    </row>
    <row r="1212">
      <c r="A1212" s="3" t="n"/>
      <c r="B1212" s="3" t="n"/>
      <c r="C1212" s="3" t="n"/>
      <c r="D1212" s="3" t="n"/>
    </row>
    <row r="1213">
      <c r="A1213" s="3" t="n"/>
      <c r="B1213" s="3" t="n"/>
      <c r="C1213" s="3" t="n"/>
      <c r="D1213" s="3" t="n"/>
    </row>
    <row r="1214">
      <c r="A1214" s="3" t="n"/>
      <c r="B1214" s="3" t="n"/>
      <c r="C1214" s="3" t="n"/>
      <c r="D1214" s="3" t="n"/>
    </row>
    <row r="1215">
      <c r="A1215" s="3" t="n"/>
      <c r="B1215" s="3" t="n"/>
      <c r="C1215" s="3" t="n"/>
      <c r="D1215" s="3" t="n"/>
    </row>
    <row r="1216">
      <c r="A1216" s="3" t="n"/>
      <c r="B1216" s="3" t="n"/>
      <c r="C1216" s="3" t="n"/>
      <c r="D1216" s="3" t="n"/>
    </row>
    <row r="1217">
      <c r="A1217" s="3" t="n"/>
      <c r="B1217" s="3" t="n"/>
      <c r="C1217" s="3" t="n"/>
      <c r="D1217" s="3" t="n"/>
    </row>
    <row r="1218">
      <c r="A1218" s="3" t="n"/>
      <c r="B1218" s="3" t="n"/>
      <c r="C1218" s="3" t="n"/>
      <c r="D1218" s="3" t="n"/>
    </row>
    <row r="1219">
      <c r="A1219" s="3" t="n"/>
      <c r="B1219" s="3" t="n"/>
      <c r="C1219" s="3" t="n"/>
      <c r="D1219" s="3" t="n"/>
    </row>
    <row r="1220">
      <c r="A1220" s="3" t="n"/>
      <c r="B1220" s="3" t="n"/>
      <c r="C1220" s="3" t="n"/>
      <c r="D1220" s="3" t="n"/>
    </row>
    <row r="1221">
      <c r="A1221" s="3" t="n"/>
      <c r="B1221" s="3" t="n"/>
      <c r="C1221" s="3" t="n"/>
      <c r="D1221" s="3" t="n"/>
    </row>
    <row r="1222">
      <c r="A1222" s="3" t="n"/>
      <c r="B1222" s="3" t="n"/>
      <c r="C1222" s="3" t="n"/>
      <c r="D1222" s="3" t="n"/>
    </row>
    <row r="1223">
      <c r="A1223" s="3" t="n"/>
      <c r="B1223" s="3" t="n"/>
      <c r="C1223" s="3" t="n"/>
      <c r="D1223" s="3" t="n"/>
    </row>
    <row r="1224">
      <c r="A1224" s="3" t="n"/>
      <c r="B1224" s="3" t="n"/>
      <c r="C1224" s="3" t="n"/>
      <c r="D1224" s="3" t="n"/>
    </row>
    <row r="1225">
      <c r="A1225" s="3" t="n"/>
      <c r="B1225" s="3" t="n"/>
      <c r="C1225" s="3" t="n"/>
      <c r="D1225" s="3" t="n"/>
    </row>
    <row r="1226">
      <c r="A1226" s="3" t="n"/>
      <c r="B1226" s="3" t="n"/>
      <c r="C1226" s="3" t="n"/>
      <c r="D1226" s="3" t="n"/>
    </row>
    <row r="1227">
      <c r="A1227" s="3" t="n"/>
      <c r="B1227" s="3" t="n"/>
      <c r="C1227" s="3" t="n"/>
      <c r="D1227" s="3" t="n"/>
    </row>
    <row r="1228">
      <c r="A1228" s="3" t="n"/>
      <c r="B1228" s="3" t="n"/>
      <c r="C1228" s="3" t="n"/>
      <c r="D1228" s="3" t="n"/>
    </row>
    <row r="1229">
      <c r="A1229" s="3" t="n"/>
      <c r="B1229" s="3" t="n"/>
      <c r="C1229" s="3" t="n"/>
      <c r="D1229" s="3" t="n"/>
    </row>
    <row r="1230">
      <c r="A1230" s="3" t="n"/>
      <c r="B1230" s="3" t="n"/>
      <c r="C1230" s="3" t="n"/>
      <c r="D1230" s="3" t="n"/>
    </row>
    <row r="1231">
      <c r="A1231" s="3" t="n"/>
      <c r="B1231" s="3" t="n"/>
      <c r="C1231" s="3" t="n"/>
      <c r="D1231" s="3" t="n"/>
    </row>
    <row r="1232">
      <c r="A1232" s="3" t="n"/>
      <c r="B1232" s="3" t="n"/>
      <c r="C1232" s="3" t="n"/>
      <c r="D1232" s="3" t="n"/>
    </row>
    <row r="1233">
      <c r="A1233" s="3" t="n"/>
      <c r="B1233" s="3" t="n"/>
      <c r="C1233" s="3" t="n"/>
      <c r="D1233" s="3" t="n"/>
    </row>
    <row r="1234">
      <c r="A1234" s="3" t="n"/>
      <c r="B1234" s="3" t="n"/>
      <c r="C1234" s="3" t="n"/>
      <c r="D1234" s="3" t="n"/>
    </row>
    <row r="1235">
      <c r="A1235" s="3" t="n"/>
      <c r="B1235" s="3" t="n"/>
      <c r="C1235" s="3" t="n"/>
      <c r="D1235" s="3" t="n"/>
    </row>
    <row r="1236">
      <c r="A1236" s="3" t="n"/>
      <c r="B1236" s="3" t="n"/>
      <c r="C1236" s="3" t="n"/>
      <c r="D1236" s="3" t="n"/>
    </row>
    <row r="1237">
      <c r="A1237" s="3" t="n"/>
      <c r="B1237" s="3" t="n"/>
      <c r="C1237" s="3" t="n"/>
      <c r="D1237" s="3" t="n"/>
    </row>
    <row r="1238">
      <c r="A1238" s="3" t="n"/>
      <c r="B1238" s="3" t="n"/>
      <c r="C1238" s="3" t="n"/>
      <c r="D1238" s="3" t="n"/>
    </row>
    <row r="1239">
      <c r="A1239" s="3" t="n"/>
      <c r="B1239" s="3" t="n"/>
      <c r="C1239" s="3" t="n"/>
      <c r="D1239" s="3" t="n"/>
    </row>
    <row r="1240">
      <c r="A1240" s="3" t="n"/>
      <c r="B1240" s="3" t="n"/>
      <c r="C1240" s="3" t="n"/>
      <c r="D1240" s="3" t="n"/>
    </row>
    <row r="1241">
      <c r="A1241" s="3" t="n"/>
      <c r="B1241" s="3" t="n"/>
      <c r="C1241" s="3" t="n"/>
      <c r="D1241" s="3" t="n"/>
    </row>
    <row r="1242">
      <c r="A1242" s="3" t="n"/>
      <c r="B1242" s="3" t="n"/>
      <c r="C1242" s="3" t="n"/>
      <c r="D1242" s="3" t="n"/>
    </row>
    <row r="1243">
      <c r="A1243" s="3" t="n"/>
      <c r="B1243" s="3" t="n"/>
      <c r="C1243" s="3" t="n"/>
      <c r="D1243" s="3" t="n"/>
    </row>
    <row r="1244">
      <c r="A1244" s="3" t="n"/>
      <c r="B1244" s="3" t="n"/>
      <c r="C1244" s="3" t="n"/>
      <c r="D1244" s="3" t="n"/>
    </row>
    <row r="1245">
      <c r="A1245" s="3" t="n"/>
      <c r="B1245" s="3" t="n"/>
      <c r="C1245" s="3" t="n"/>
      <c r="D1245" s="3" t="n"/>
    </row>
    <row r="1246">
      <c r="A1246" s="3" t="n"/>
      <c r="B1246" s="3" t="n"/>
      <c r="C1246" s="3" t="n"/>
      <c r="D1246" s="3" t="n"/>
    </row>
    <row r="1247">
      <c r="A1247" s="3" t="n"/>
      <c r="B1247" s="3" t="n"/>
      <c r="C1247" s="3" t="n"/>
      <c r="D1247" s="3" t="n"/>
    </row>
    <row r="1248">
      <c r="A1248" s="3" t="n"/>
      <c r="B1248" s="3" t="n"/>
      <c r="C1248" s="3" t="n"/>
      <c r="D1248" s="3" t="n"/>
    </row>
    <row r="1249">
      <c r="A1249" s="3" t="n"/>
      <c r="B1249" s="3" t="n"/>
      <c r="C1249" s="3" t="n"/>
      <c r="D1249" s="3" t="n"/>
    </row>
    <row r="1250">
      <c r="A1250" s="3" t="n"/>
      <c r="B1250" s="3" t="n"/>
      <c r="C1250" s="3" t="n"/>
      <c r="D1250" s="3" t="n"/>
    </row>
    <row r="1251">
      <c r="A1251" s="3" t="n"/>
      <c r="B1251" s="3" t="n"/>
      <c r="C1251" s="3" t="n"/>
      <c r="D1251" s="3" t="n"/>
    </row>
    <row r="1252">
      <c r="A1252" s="3" t="n"/>
      <c r="B1252" s="3" t="n"/>
      <c r="C1252" s="3" t="n"/>
      <c r="D1252" s="3" t="n"/>
    </row>
    <row r="1253">
      <c r="A1253" s="3" t="n"/>
      <c r="B1253" s="3" t="n"/>
      <c r="C1253" s="3" t="n"/>
      <c r="D1253" s="3" t="n"/>
    </row>
    <row r="1254">
      <c r="A1254" s="3" t="n"/>
      <c r="B1254" s="3" t="n"/>
      <c r="C1254" s="3" t="n"/>
      <c r="D1254" s="3" t="n"/>
    </row>
    <row r="1255">
      <c r="A1255" s="3" t="n"/>
      <c r="B1255" s="3" t="n"/>
      <c r="C1255" s="3" t="n"/>
      <c r="D1255" s="3" t="n"/>
    </row>
    <row r="1256">
      <c r="A1256" s="3" t="n"/>
      <c r="B1256" s="3" t="n"/>
      <c r="C1256" s="3" t="n"/>
      <c r="D1256" s="3" t="n"/>
    </row>
    <row r="1257">
      <c r="A1257" s="3" t="n"/>
      <c r="B1257" s="3" t="n"/>
      <c r="C1257" s="3" t="n"/>
      <c r="D1257" s="3" t="n"/>
    </row>
    <row r="1258">
      <c r="A1258" s="3" t="n"/>
      <c r="B1258" s="3" t="n"/>
      <c r="C1258" s="3" t="n"/>
      <c r="D1258" s="3" t="n"/>
    </row>
    <row r="1259">
      <c r="A1259" s="3" t="n"/>
      <c r="B1259" s="3" t="n"/>
      <c r="C1259" s="3" t="n"/>
      <c r="D1259" s="3" t="n"/>
    </row>
    <row r="1260">
      <c r="A1260" s="3" t="n"/>
      <c r="B1260" s="3" t="n"/>
      <c r="C1260" s="3" t="n"/>
      <c r="D1260" s="3" t="n"/>
    </row>
    <row r="1261">
      <c r="A1261" s="3" t="n"/>
      <c r="B1261" s="3" t="n"/>
      <c r="C1261" s="3" t="n"/>
      <c r="D1261" s="3" t="n"/>
    </row>
    <row r="1262">
      <c r="A1262" s="3" t="n"/>
      <c r="B1262" s="3" t="n"/>
      <c r="C1262" s="3" t="n"/>
      <c r="D1262" s="3" t="n"/>
    </row>
    <row r="1263">
      <c r="A1263" s="3" t="n"/>
      <c r="B1263" s="3" t="n"/>
      <c r="C1263" s="3" t="n"/>
      <c r="D1263" s="3" t="n"/>
    </row>
  </sheetData>
  <autoFilter ref="A1:L210"/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13" bestFit="1" customWidth="1" min="1" max="1"/>
    <col width="13" bestFit="1" customWidth="1" min="2" max="2"/>
    <col width="13" bestFit="1" customWidth="1" min="3" max="3"/>
  </cols>
  <sheetData>
    <row r="1">
      <c r="A1" s="10" t="inlineStr">
        <is>
          <t>Summary Metric</t>
        </is>
      </c>
      <c r="B1" s="10" t="inlineStr">
        <is>
          <t>Value</t>
        </is>
      </c>
      <c r="C1" s="10" t="n"/>
    </row>
    <row r="2">
      <c r="A2" s="11" t="inlineStr">
        <is>
          <t>ev_common_total</t>
        </is>
      </c>
      <c r="B2" s="11" t="n">
        <v>0.3418181818181818</v>
      </c>
    </row>
    <row r="3">
      <c r="A3" s="11" t="inlineStr">
        <is>
          <t>ev_uncommon_total</t>
        </is>
      </c>
      <c r="B3" s="11" t="n">
        <v>0.2893548387096774</v>
      </c>
    </row>
    <row r="4">
      <c r="A4" s="11" t="inlineStr">
        <is>
          <t>ev_rare_total</t>
        </is>
      </c>
      <c r="B4" s="11" t="n">
        <v>0.15375</v>
      </c>
    </row>
    <row r="5">
      <c r="A5" s="11" t="inlineStr">
        <is>
          <t>ev_reverse_total</t>
        </is>
      </c>
      <c r="B5" s="11" t="n">
        <v>0.984122693194925</v>
      </c>
    </row>
    <row r="6">
      <c r="A6" s="11" t="inlineStr">
        <is>
          <t>ev_ace_spec_total</t>
        </is>
      </c>
      <c r="B6" s="11" t="n">
        <v>0</v>
      </c>
    </row>
    <row r="7">
      <c r="A7" s="11" t="inlineStr">
        <is>
          <t>ev_pokeball_total</t>
        </is>
      </c>
      <c r="B7" s="11" t="n">
        <v>0</v>
      </c>
    </row>
    <row r="8">
      <c r="A8" s="11" t="inlineStr">
        <is>
          <t>ev_master_ball_total</t>
        </is>
      </c>
      <c r="B8" s="11" t="n">
        <v>0</v>
      </c>
    </row>
    <row r="9">
      <c r="A9" s="11" t="inlineStr">
        <is>
          <t>ev_IR_total</t>
        </is>
      </c>
      <c r="B9" s="11" t="n">
        <v>1.864308510638298</v>
      </c>
    </row>
    <row r="10">
      <c r="A10" s="11" t="inlineStr">
        <is>
          <t>ev_SIR_total</t>
        </is>
      </c>
      <c r="B10" s="11" t="n">
        <v>2.086711111111111</v>
      </c>
    </row>
    <row r="11">
      <c r="A11" s="11" t="inlineStr">
        <is>
          <t>ev_double_rare_total</t>
        </is>
      </c>
      <c r="B11" s="11" t="n">
        <v>0.37</v>
      </c>
    </row>
    <row r="12">
      <c r="A12" s="11" t="inlineStr">
        <is>
          <t>ev_hyper_rare_total</t>
        </is>
      </c>
      <c r="B12" s="11" t="n">
        <v>0.127987012987013</v>
      </c>
    </row>
    <row r="13">
      <c r="A13" s="11" t="inlineStr">
        <is>
          <t>ev_ultra_rare_total</t>
        </is>
      </c>
      <c r="B13" s="11" t="n">
        <v>0.5243548387096774</v>
      </c>
    </row>
    <row r="14">
      <c r="A14" s="11" t="inlineStr">
        <is>
          <t>reverse_multiplier</t>
        </is>
      </c>
      <c r="B14" s="11" t="n">
        <v>1.865808823529412</v>
      </c>
    </row>
    <row r="15">
      <c r="A15" s="11" t="inlineStr">
        <is>
          <t>rare_multiplier</t>
        </is>
      </c>
      <c r="B15" s="11" t="n">
        <v>0.8125</v>
      </c>
    </row>
    <row r="16">
      <c r="A16" s="11" t="inlineStr">
        <is>
          <t>regular_pack_ev_contribution</t>
        </is>
      </c>
      <c r="B16" s="11" t="n">
        <v>6.742407187168883</v>
      </c>
    </row>
    <row r="17">
      <c r="A17" s="11" t="inlineStr">
        <is>
          <t>god_pack_ev_contribution</t>
        </is>
      </c>
      <c r="B17" s="11" t="n">
        <v>0.09195225317693059</v>
      </c>
    </row>
    <row r="18">
      <c r="A18" s="11" t="inlineStr">
        <is>
          <t>demi_god_pack_ev_contribution</t>
        </is>
      </c>
      <c r="B18" s="11" t="n">
        <v>0</v>
      </c>
    </row>
    <row r="19">
      <c r="A19" s="11" t="inlineStr">
        <is>
          <t>total_manual_ev</t>
        </is>
      </c>
      <c r="B19" s="11" t="n">
        <v>6.834359440345814</v>
      </c>
    </row>
    <row r="21">
      <c r="A21" s="10" t="inlineStr">
        <is>
          <t>Results Metric</t>
        </is>
      </c>
      <c r="B21" s="10" t="inlineStr">
        <is>
          <t>Value</t>
        </is>
      </c>
    </row>
    <row r="22">
      <c r="A22" s="11" t="inlineStr">
        <is>
          <t>total_manual_ev</t>
        </is>
      </c>
      <c r="B22" s="11" t="n">
        <v>6.834359440345814</v>
      </c>
    </row>
    <row r="23">
      <c r="A23" s="11" t="inlineStr">
        <is>
          <t>acutal_simulated_ev</t>
        </is>
      </c>
      <c r="B23" s="11" t="n">
        <v>6.681584127859238</v>
      </c>
    </row>
    <row r="24">
      <c r="A24" s="11" t="inlineStr">
        <is>
          <t>pack_price</t>
        </is>
      </c>
      <c r="B24" s="11" t="n">
        <v>10.55</v>
      </c>
    </row>
    <row r="25">
      <c r="A25" s="11" t="inlineStr">
        <is>
          <t>hit_probability_percentage</t>
        </is>
      </c>
      <c r="B25" s="11" t="n">
        <v>29.24574369474995</v>
      </c>
    </row>
    <row r="26">
      <c r="A26" s="11" t="inlineStr">
        <is>
          <t>no_hit_probability_percentage</t>
        </is>
      </c>
      <c r="B26" s="11" t="n">
        <v>70.75425630525005</v>
      </c>
    </row>
    <row r="27">
      <c r="A27" s="11" t="inlineStr">
        <is>
          <t>net_value</t>
        </is>
      </c>
      <c r="B27" s="11" t="n">
        <v>-3.868415872140763</v>
      </c>
    </row>
    <row r="28">
      <c r="A28" s="11" t="inlineStr">
        <is>
          <t>opening_pack_roi</t>
        </is>
      </c>
      <c r="B28" s="11" t="n">
        <v>0.6333255097496907</v>
      </c>
    </row>
    <row r="29">
      <c r="A29" s="11" t="inlineStr">
        <is>
          <t>opening_pack_roi_percent</t>
        </is>
      </c>
      <c r="B29" s="11" t="n">
        <v>-36.66744902503093</v>
      </c>
    </row>
    <row r="31">
      <c r="A31" s="10" t="inlineStr">
        <is>
          <t>Simulation Metric</t>
        </is>
      </c>
      <c r="B31" s="10" t="inlineStr">
        <is>
          <t>Value</t>
        </is>
      </c>
    </row>
    <row r="32">
      <c r="A32" t="inlineStr">
        <is>
          <t>Mean Value</t>
        </is>
      </c>
      <c r="B32" t="n">
        <v>6.681584127859238</v>
      </c>
    </row>
    <row r="33">
      <c r="A33" t="inlineStr">
        <is>
          <t>Standard Deviation</t>
        </is>
      </c>
      <c r="B33" t="n">
        <v>17.99495610597306</v>
      </c>
    </row>
    <row r="34">
      <c r="A34" t="inlineStr">
        <is>
          <t>Minimum Value</t>
        </is>
      </c>
      <c r="B34" t="n">
        <v>0.8700000000000001</v>
      </c>
    </row>
    <row r="35">
      <c r="A35" t="inlineStr">
        <is>
          <t>Maximum Value</t>
        </is>
      </c>
      <c r="B35" t="n">
        <v>288.3111730205279</v>
      </c>
    </row>
    <row r="36">
      <c r="A36" t="inlineStr">
        <is>
          <t>5th</t>
        </is>
      </c>
      <c r="B36" t="n">
        <v>1.09</v>
      </c>
    </row>
    <row r="37">
      <c r="A37" t="inlineStr">
        <is>
          <t>25th</t>
        </is>
      </c>
      <c r="B37" t="n">
        <v>1.5</v>
      </c>
    </row>
    <row r="38">
      <c r="A38" t="inlineStr">
        <is>
          <t>50th (median)</t>
        </is>
      </c>
      <c r="B38" t="n">
        <v>2.09</v>
      </c>
    </row>
    <row r="39">
      <c r="A39" t="inlineStr">
        <is>
          <t>75th</t>
        </is>
      </c>
      <c r="B39" t="n">
        <v>3.33</v>
      </c>
    </row>
    <row r="40">
      <c r="A40" t="inlineStr">
        <is>
          <t>90th</t>
        </is>
      </c>
      <c r="B40" t="n">
        <v>14.32</v>
      </c>
    </row>
    <row r="41">
      <c r="A41" t="inlineStr">
        <is>
          <t>95th</t>
        </is>
      </c>
      <c r="B41" t="n">
        <v>29.49</v>
      </c>
    </row>
    <row r="42">
      <c r="A42" t="inlineStr">
        <is>
          <t>99th</t>
        </is>
      </c>
      <c r="B42" t="n">
        <v>66.41129999999931</v>
      </c>
    </row>
    <row r="44">
      <c r="A44" s="10" t="inlineStr">
        <is>
          <t>Top 10 Most Expensive Hits</t>
        </is>
      </c>
      <c r="B44" s="10" t="inlineStr">
        <is>
          <t>Value</t>
        </is>
      </c>
      <c r="C44" s="10" t="inlineStr">
        <is>
          <t>Effective Pull Rate</t>
        </is>
      </c>
    </row>
    <row r="45">
      <c r="A45" t="inlineStr">
        <is>
          <t>Charizard ex - 199/165</t>
        </is>
      </c>
      <c r="B45" t="n">
        <v>211.83</v>
      </c>
      <c r="C45" t="n">
        <v>225</v>
      </c>
    </row>
    <row r="46">
      <c r="A46" t="inlineStr">
        <is>
          <t>Blastoise ex - 200/165</t>
        </is>
      </c>
      <c r="B46" t="n">
        <v>68.63</v>
      </c>
      <c r="C46" t="n">
        <v>225</v>
      </c>
    </row>
    <row r="47">
      <c r="A47" t="inlineStr">
        <is>
          <t>Venusaur ex - 198/165</t>
        </is>
      </c>
      <c r="B47" t="n">
        <v>63.4</v>
      </c>
      <c r="C47" t="n">
        <v>225</v>
      </c>
    </row>
    <row r="48">
      <c r="A48" t="inlineStr">
        <is>
          <t>Zapdos ex - 202/165</t>
        </is>
      </c>
      <c r="B48" t="n">
        <v>59.23</v>
      </c>
      <c r="C48" t="n">
        <v>225</v>
      </c>
    </row>
    <row r="49">
      <c r="A49" t="inlineStr">
        <is>
          <t>Squirtle - 170/165</t>
        </is>
      </c>
      <c r="B49" t="n">
        <v>44.78</v>
      </c>
      <c r="C49" t="n">
        <v>188</v>
      </c>
    </row>
    <row r="50">
      <c r="A50" t="inlineStr">
        <is>
          <t>Charmander - 168/165</t>
        </is>
      </c>
      <c r="B50" t="n">
        <v>44.02</v>
      </c>
      <c r="C50" t="n">
        <v>188</v>
      </c>
    </row>
    <row r="51">
      <c r="A51" t="inlineStr">
        <is>
          <t>Alakazam ex - 201/165</t>
        </is>
      </c>
      <c r="B51" t="n">
        <v>41.69</v>
      </c>
      <c r="C51" t="n">
        <v>225</v>
      </c>
    </row>
    <row r="52">
      <c r="A52" t="inlineStr">
        <is>
          <t>Pikachu - 173/165</t>
        </is>
      </c>
      <c r="B52" t="n">
        <v>33.66</v>
      </c>
      <c r="C52" t="n">
        <v>188</v>
      </c>
    </row>
    <row r="53">
      <c r="A53" t="inlineStr">
        <is>
          <t>Bulbasaur - 166/165</t>
        </is>
      </c>
      <c r="B53" t="n">
        <v>33.2</v>
      </c>
      <c r="C53" t="n">
        <v>188</v>
      </c>
    </row>
    <row r="54">
      <c r="A54" t="inlineStr">
        <is>
          <t>Charmeleon - 169/165</t>
        </is>
      </c>
      <c r="B54" t="n">
        <v>31.83</v>
      </c>
      <c r="C54" t="n">
        <v>188</v>
      </c>
    </row>
    <row r="55">
      <c r="A55" t="inlineStr">
        <is>
          <t>Summary Metric</t>
        </is>
      </c>
      <c r="B55" t="inlineStr">
        <is>
          <t>Value</t>
        </is>
      </c>
    </row>
    <row r="56">
      <c r="A56" s="11" t="inlineStr">
        <is>
          <t>ev_common_total</t>
        </is>
      </c>
      <c r="B56" s="11" t="n">
        <v>0.3418181818181818</v>
      </c>
      <c r="C56" s="11" t="n"/>
    </row>
    <row r="57">
      <c r="A57" s="11" t="inlineStr">
        <is>
          <t>ev_uncommon_total</t>
        </is>
      </c>
      <c r="B57" s="11" t="n">
        <v>0.2893548387096774</v>
      </c>
      <c r="C57" s="11" t="n"/>
    </row>
    <row r="58">
      <c r="A58" s="11" t="inlineStr">
        <is>
          <t>ev_rare_total</t>
        </is>
      </c>
      <c r="B58" s="11" t="n">
        <v>0.15375</v>
      </c>
      <c r="C58" s="11" t="n"/>
    </row>
    <row r="59">
      <c r="A59" s="11" t="inlineStr">
        <is>
          <t>ev_reverse_total</t>
        </is>
      </c>
      <c r="B59" s="11" t="n">
        <v>0.984122693194925</v>
      </c>
      <c r="C59" s="11" t="n"/>
    </row>
    <row r="60">
      <c r="A60" s="11" t="inlineStr">
        <is>
          <t>ev_ace_spec_total</t>
        </is>
      </c>
      <c r="B60" s="11" t="n">
        <v>0</v>
      </c>
      <c r="C60" s="11" t="n"/>
    </row>
    <row r="61">
      <c r="A61" s="11" t="inlineStr">
        <is>
          <t>ev_pokeball_total</t>
        </is>
      </c>
      <c r="B61" s="11" t="n">
        <v>0</v>
      </c>
      <c r="C61" s="11" t="n"/>
    </row>
    <row r="62">
      <c r="A62" s="11" t="inlineStr">
        <is>
          <t>ev_master_ball_total</t>
        </is>
      </c>
      <c r="B62" s="11" t="n">
        <v>0</v>
      </c>
      <c r="C62" s="11" t="n"/>
    </row>
    <row r="63">
      <c r="A63" s="11" t="inlineStr">
        <is>
          <t>ev_IR_total</t>
        </is>
      </c>
      <c r="B63" s="11" t="n">
        <v>1.864308510638298</v>
      </c>
      <c r="C63" s="11" t="n"/>
    </row>
    <row r="64">
      <c r="A64" s="11" t="inlineStr">
        <is>
          <t>ev_SIR_total</t>
        </is>
      </c>
      <c r="B64" s="11" t="n">
        <v>2.086711111111111</v>
      </c>
      <c r="C64" s="11" t="n"/>
    </row>
    <row r="65">
      <c r="A65" s="11" t="inlineStr">
        <is>
          <t>ev_double_rare_total</t>
        </is>
      </c>
      <c r="B65" s="11" t="n">
        <v>0.37</v>
      </c>
      <c r="C65" s="11" t="n"/>
    </row>
    <row r="66">
      <c r="A66" s="11" t="inlineStr">
        <is>
          <t>ev_hyper_rare_total</t>
        </is>
      </c>
      <c r="B66" s="11" t="n">
        <v>0.127987012987013</v>
      </c>
      <c r="C66" s="11" t="n"/>
    </row>
    <row r="67">
      <c r="A67" s="11" t="inlineStr">
        <is>
          <t>ev_ultra_rare_total</t>
        </is>
      </c>
      <c r="B67" s="11" t="n">
        <v>0.5243548387096774</v>
      </c>
      <c r="C67" s="11" t="n"/>
    </row>
    <row r="68">
      <c r="A68" s="11" t="inlineStr">
        <is>
          <t>reverse_multiplier</t>
        </is>
      </c>
      <c r="B68" s="11" t="n">
        <v>1.865808823529412</v>
      </c>
      <c r="C68" s="11" t="n"/>
    </row>
    <row r="69">
      <c r="A69" s="11" t="inlineStr">
        <is>
          <t>rare_multiplier</t>
        </is>
      </c>
      <c r="B69" s="11" t="n">
        <v>0.8125</v>
      </c>
      <c r="C69" s="11" t="n"/>
    </row>
    <row r="70">
      <c r="A70" s="11" t="inlineStr">
        <is>
          <t>regular_pack_ev_contribution</t>
        </is>
      </c>
      <c r="B70" s="11" t="n">
        <v>6.742407187168883</v>
      </c>
      <c r="C70" s="11" t="n"/>
    </row>
    <row r="71">
      <c r="A71" s="11" t="inlineStr">
        <is>
          <t>god_pack_ev_contribution</t>
        </is>
      </c>
      <c r="B71" s="11" t="n">
        <v>0.09195225317693059</v>
      </c>
      <c r="C71" s="11" t="n"/>
    </row>
    <row r="72">
      <c r="A72" s="11" t="inlineStr">
        <is>
          <t>demi_god_pack_ev_contribution</t>
        </is>
      </c>
      <c r="B72" s="11" t="n">
        <v>0</v>
      </c>
      <c r="C72" s="11" t="n"/>
    </row>
    <row r="73">
      <c r="A73" s="11" t="inlineStr">
        <is>
          <t>total_manual_ev</t>
        </is>
      </c>
      <c r="B73" s="11" t="n">
        <v>6.834359440345814</v>
      </c>
      <c r="C73" s="1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2025-03-24T00:17:24Z</dcterms:created>
  <dcterms:modified xsi:type="dcterms:W3CDTF">2025-09-27T23:10:11Z</dcterms:modified>
  <cp:lastModifiedBy>Donald Stivison</cp:lastModifiedBy>
</cp:coreProperties>
</file>